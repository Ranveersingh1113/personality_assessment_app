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C153024-53CA-436B-B8BB-23E813CA8C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2 पवार सेवालाल पप्प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9" i="1" l="1"/>
  <c r="AO29" i="1"/>
  <c r="AN29" i="1"/>
  <c r="AM29" i="1"/>
  <c r="AL29" i="1"/>
  <c r="AK29" i="1"/>
  <c r="AJ29" i="1"/>
  <c r="AI29" i="1"/>
  <c r="AH29" i="1"/>
  <c r="AG29" i="1"/>
  <c r="AP28" i="1"/>
  <c r="AO28" i="1"/>
  <c r="AN28" i="1"/>
  <c r="AM28" i="1"/>
  <c r="AL28" i="1"/>
  <c r="AK28" i="1"/>
  <c r="AJ28" i="1"/>
  <c r="AI28" i="1"/>
  <c r="AH28" i="1"/>
  <c r="AG28" i="1"/>
  <c r="AP27" i="1"/>
  <c r="AO27" i="1"/>
  <c r="AN27" i="1"/>
  <c r="AM27" i="1"/>
  <c r="AL27" i="1"/>
  <c r="AK27" i="1"/>
  <c r="AJ27" i="1"/>
  <c r="AI27" i="1"/>
  <c r="AH27" i="1"/>
  <c r="AG27" i="1"/>
  <c r="AP26" i="1"/>
  <c r="AO26" i="1"/>
  <c r="AN26" i="1"/>
  <c r="AM26" i="1"/>
  <c r="AL26" i="1"/>
  <c r="AK26" i="1"/>
  <c r="AJ26" i="1"/>
  <c r="AI26" i="1"/>
  <c r="AH26" i="1"/>
  <c r="AG26" i="1"/>
  <c r="AP25" i="1"/>
  <c r="AO25" i="1"/>
  <c r="AN25" i="1"/>
  <c r="AM25" i="1"/>
  <c r="AL25" i="1"/>
  <c r="AK25" i="1"/>
  <c r="AJ25" i="1"/>
  <c r="AI25" i="1"/>
  <c r="AH25" i="1"/>
  <c r="AG25" i="1"/>
  <c r="AP24" i="1"/>
  <c r="AO24" i="1"/>
  <c r="AN24" i="1"/>
  <c r="AM24" i="1"/>
  <c r="AL24" i="1"/>
  <c r="AK24" i="1"/>
  <c r="AJ24" i="1"/>
  <c r="AI24" i="1"/>
  <c r="AH24" i="1"/>
  <c r="AG24" i="1"/>
  <c r="AP23" i="1"/>
  <c r="AO23" i="1"/>
  <c r="AN23" i="1"/>
  <c r="AM23" i="1"/>
  <c r="AL23" i="1"/>
  <c r="AK23" i="1"/>
  <c r="AJ23" i="1"/>
  <c r="AI23" i="1"/>
  <c r="AH23" i="1"/>
  <c r="AG23" i="1"/>
  <c r="AP22" i="1"/>
  <c r="AO22" i="1"/>
  <c r="AN22" i="1"/>
  <c r="AM22" i="1"/>
  <c r="AL22" i="1"/>
  <c r="AK22" i="1"/>
  <c r="AJ22" i="1"/>
  <c r="AI22" i="1"/>
  <c r="AH22" i="1"/>
  <c r="AG22" i="1"/>
  <c r="AP21" i="1"/>
  <c r="AO21" i="1"/>
  <c r="AN21" i="1"/>
  <c r="AM21" i="1"/>
  <c r="AL21" i="1"/>
  <c r="AK21" i="1"/>
  <c r="AJ21" i="1"/>
  <c r="AI21" i="1"/>
  <c r="AH21" i="1"/>
  <c r="AG21" i="1"/>
  <c r="AP20" i="1"/>
  <c r="AO20" i="1"/>
  <c r="AN20" i="1"/>
  <c r="AM20" i="1"/>
  <c r="AL20" i="1"/>
  <c r="AK20" i="1"/>
  <c r="AJ20" i="1"/>
  <c r="AI20" i="1"/>
  <c r="AH20" i="1"/>
  <c r="AG20" i="1"/>
  <c r="AP19" i="1"/>
  <c r="AO19" i="1"/>
  <c r="AN19" i="1"/>
  <c r="AM19" i="1"/>
  <c r="AL19" i="1"/>
  <c r="AK19" i="1"/>
  <c r="AJ19" i="1"/>
  <c r="AI19" i="1"/>
  <c r="AH19" i="1"/>
  <c r="AG19" i="1"/>
  <c r="AP18" i="1"/>
  <c r="AO18" i="1"/>
  <c r="AN18" i="1"/>
  <c r="AM18" i="1"/>
  <c r="AL18" i="1"/>
  <c r="AK18" i="1"/>
  <c r="AJ18" i="1"/>
  <c r="AI18" i="1"/>
  <c r="AH18" i="1"/>
  <c r="AG18" i="1"/>
  <c r="AP17" i="1"/>
  <c r="AO17" i="1"/>
  <c r="AN17" i="1"/>
  <c r="AM17" i="1"/>
  <c r="AL17" i="1"/>
  <c r="AK17" i="1"/>
  <c r="AJ17" i="1"/>
  <c r="AI17" i="1"/>
  <c r="AH17" i="1"/>
  <c r="AG17" i="1"/>
  <c r="AP16" i="1"/>
  <c r="AO16" i="1"/>
  <c r="AN16" i="1"/>
  <c r="AM16" i="1"/>
  <c r="AL16" i="1"/>
  <c r="AK16" i="1"/>
  <c r="AJ16" i="1"/>
  <c r="AI16" i="1"/>
  <c r="AH16" i="1"/>
  <c r="AG16" i="1"/>
  <c r="AP15" i="1"/>
  <c r="AO15" i="1"/>
  <c r="AN15" i="1"/>
  <c r="AM15" i="1"/>
  <c r="AL15" i="1"/>
  <c r="AK15" i="1"/>
  <c r="AJ15" i="1"/>
  <c r="AI15" i="1"/>
  <c r="AH15" i="1"/>
  <c r="AG15" i="1"/>
  <c r="AP14" i="1"/>
  <c r="AO14" i="1"/>
  <c r="AN14" i="1"/>
  <c r="AM14" i="1"/>
  <c r="AL14" i="1"/>
  <c r="AK14" i="1"/>
  <c r="AJ14" i="1"/>
  <c r="AI14" i="1"/>
  <c r="AH14" i="1"/>
  <c r="AG14" i="1"/>
  <c r="AP13" i="1"/>
  <c r="AO13" i="1"/>
  <c r="AN13" i="1"/>
  <c r="AM13" i="1"/>
  <c r="AL13" i="1"/>
  <c r="AK13" i="1"/>
  <c r="AJ13" i="1"/>
  <c r="AI13" i="1"/>
  <c r="AH13" i="1"/>
  <c r="AG13" i="1"/>
  <c r="AP12" i="1"/>
  <c r="AO12" i="1"/>
  <c r="AN12" i="1"/>
  <c r="AM12" i="1"/>
  <c r="AL12" i="1"/>
  <c r="AK12" i="1"/>
  <c r="AJ12" i="1"/>
  <c r="AI12" i="1"/>
  <c r="AH12" i="1"/>
  <c r="AG12" i="1"/>
  <c r="AP11" i="1"/>
  <c r="AO11" i="1"/>
  <c r="AN11" i="1"/>
  <c r="AM11" i="1"/>
  <c r="AL11" i="1"/>
  <c r="AK11" i="1"/>
  <c r="AJ11" i="1"/>
  <c r="AI11" i="1"/>
  <c r="AH11" i="1"/>
  <c r="AG11" i="1"/>
  <c r="AP10" i="1"/>
  <c r="AO10" i="1"/>
  <c r="AN10" i="1"/>
  <c r="AM10" i="1"/>
  <c r="AL10" i="1"/>
  <c r="AK10" i="1"/>
  <c r="AJ10" i="1"/>
  <c r="AI10" i="1"/>
  <c r="AH10" i="1"/>
  <c r="AG10" i="1"/>
  <c r="S2" i="1"/>
</calcChain>
</file>

<file path=xl/sharedStrings.xml><?xml version="1.0" encoding="utf-8"?>
<sst xmlns="http://schemas.openxmlformats.org/spreadsheetml/2006/main" count="37" uniqueCount="36">
  <si>
    <t>व्यक्तिमत्व रिपोर्टकार्ड (२०२४ -२०२५)</t>
  </si>
  <si>
    <t xml:space="preserve">भरारी प्रकल्प </t>
  </si>
  <si>
    <t xml:space="preserve">सहकार्य - किर्लोस्कर न्यूमॅटिक </t>
  </si>
  <si>
    <t xml:space="preserve">नाव : </t>
  </si>
  <si>
    <t xml:space="preserve">शाळा : </t>
  </si>
  <si>
    <t xml:space="preserve">क्षमता     </t>
  </si>
  <si>
    <t xml:space="preserve">कमतरता    </t>
  </si>
  <si>
    <t xml:space="preserve">संधी         </t>
  </si>
  <si>
    <t xml:space="preserve">भीती      </t>
  </si>
  <si>
    <t xml:space="preserve">खूप कमी </t>
  </si>
  <si>
    <t xml:space="preserve">बदल शक्य </t>
  </si>
  <si>
    <t xml:space="preserve">सर्वसाधारण </t>
  </si>
  <si>
    <t xml:space="preserve">खूप जास्त </t>
  </si>
  <si>
    <t>अर्थ</t>
  </si>
  <si>
    <t>अनुकूलता</t>
  </si>
  <si>
    <t>शैक्षणिक कामगिरी</t>
  </si>
  <si>
    <t>धीटपणा</t>
  </si>
  <si>
    <t>स्पर्धा</t>
  </si>
  <si>
    <t>नवनिर्मिती करणारा</t>
  </si>
  <si>
    <t>उत्साह</t>
  </si>
  <si>
    <t>उत्तेजकता</t>
  </si>
  <si>
    <t>सामान्य क्षमता</t>
  </si>
  <si>
    <t>अपराधीपणाची भावना</t>
  </si>
  <si>
    <t>स्व चे महत्व जास्त</t>
  </si>
  <si>
    <t>नवीन गोष्ट</t>
  </si>
  <si>
    <t xml:space="preserve">
मार्गदर्शन / नियोजन :</t>
  </si>
  <si>
    <t>नेतृत्व</t>
  </si>
  <si>
    <t xml:space="preserve">परिपक्वता </t>
  </si>
  <si>
    <t>मानसिक आरोग्य</t>
  </si>
  <si>
    <t>नैतिकता</t>
  </si>
  <si>
    <t xml:space="preserve">आत्मनियंत्रण </t>
  </si>
  <si>
    <t xml:space="preserve">संवेदनशीलता </t>
  </si>
  <si>
    <t xml:space="preserve">स्वावलंबन </t>
  </si>
  <si>
    <t>सामाजिक नाते</t>
  </si>
  <si>
    <t>समुपदेशक, भरारी प्रकल्प</t>
  </si>
  <si>
    <t>ताण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</si>
</sst>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7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7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13"/>
      <color theme="1"/>
      <name val="Arial"/>
    </font>
    <font>
      <sz val="10"/>
      <color theme="1"/>
      <name val="Arial"/>
      <scheme val="minor"/>
    </font>
    <font>
      <b/>
      <sz val="27"/>
      <color theme="1"/>
      <name val="Arial"/>
    </font>
    <font>
      <b/>
      <sz val="3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sz val="13"/>
      <color theme="1"/>
      <name val="Arial"/>
    </font>
    <font>
      <b/>
      <sz val="24"/>
      <color theme="1"/>
      <name val="Arial"/>
    </font>
    <font>
      <b/>
      <sz val="24"/>
      <color theme="1"/>
      <name val="Calibri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4" xfId="0" applyFont="1" applyBorder="1"/>
    <xf numFmtId="0" fontId="7" fillId="0" borderId="5" xfId="0" applyFont="1" applyBorder="1"/>
    <xf numFmtId="0" fontId="8" fillId="0" borderId="5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7" fillId="5" borderId="27" xfId="0" applyFont="1" applyFill="1" applyBorder="1" applyAlignment="1">
      <alignment horizontal="center" wrapText="1"/>
    </xf>
    <xf numFmtId="0" fontId="18" fillId="0" borderId="28" xfId="0" applyFont="1" applyBorder="1" applyAlignment="1">
      <alignment horizontal="left" vertical="center" wrapText="1"/>
    </xf>
    <xf numFmtId="0" fontId="19" fillId="4" borderId="27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20" fillId="0" borderId="28" xfId="0" applyFont="1" applyBorder="1"/>
    <xf numFmtId="0" fontId="21" fillId="4" borderId="20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19" fillId="0" borderId="28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21" fillId="4" borderId="34" xfId="0" applyFont="1" applyFill="1" applyBorder="1" applyAlignment="1">
      <alignment horizontal="center" vertical="center"/>
    </xf>
    <xf numFmtId="0" fontId="21" fillId="5" borderId="34" xfId="0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 vertical="center"/>
    </xf>
    <xf numFmtId="0" fontId="19" fillId="0" borderId="3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8" fillId="0" borderId="8" xfId="0" applyFont="1" applyBorder="1"/>
    <xf numFmtId="0" fontId="7" fillId="0" borderId="8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2" borderId="10" xfId="0" applyFont="1" applyFill="1" applyBorder="1" applyAlignment="1">
      <alignment horizontal="right" vertical="center"/>
    </xf>
    <xf numFmtId="0" fontId="6" fillId="0" borderId="11" xfId="0" applyFont="1" applyBorder="1"/>
    <xf numFmtId="0" fontId="6" fillId="0" borderId="12" xfId="0" applyFont="1" applyBorder="1"/>
    <xf numFmtId="0" fontId="15" fillId="3" borderId="15" xfId="0" applyFont="1" applyFill="1" applyBorder="1" applyAlignment="1">
      <alignment horizontal="left" vertical="center" wrapText="1"/>
    </xf>
    <xf numFmtId="0" fontId="6" fillId="0" borderId="16" xfId="0" applyFont="1" applyBorder="1"/>
    <xf numFmtId="0" fontId="6" fillId="0" borderId="17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9" xfId="0" applyFont="1" applyBorder="1"/>
    <xf numFmtId="0" fontId="0" fillId="0" borderId="0" xfId="0"/>
    <xf numFmtId="0" fontId="6" fillId="0" borderId="30" xfId="0" applyFont="1" applyBorder="1"/>
    <xf numFmtId="0" fontId="16" fillId="3" borderId="15" xfId="0" applyFont="1" applyFill="1" applyBorder="1" applyAlignment="1">
      <alignment horizontal="left" wrapText="1"/>
    </xf>
    <xf numFmtId="0" fontId="4" fillId="0" borderId="15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right" vertical="center"/>
    </xf>
    <xf numFmtId="0" fontId="14" fillId="2" borderId="13" xfId="0" applyFont="1" applyFill="1" applyBorder="1" applyAlignment="1">
      <alignment horizontal="right" vertical="center"/>
    </xf>
    <xf numFmtId="0" fontId="6" fillId="0" borderId="14" xfId="0" applyFont="1" applyBorder="1"/>
    <xf numFmtId="0" fontId="15" fillId="0" borderId="18" xfId="0" applyFont="1" applyBorder="1" applyAlignment="1">
      <alignment vertical="center" wrapText="1"/>
    </xf>
    <xf numFmtId="0" fontId="6" fillId="0" borderId="19" xfId="0" applyFont="1" applyBorder="1"/>
    <xf numFmtId="0" fontId="6" fillId="0" borderId="20" xfId="0" applyFont="1" applyBorder="1"/>
    <xf numFmtId="0" fontId="15" fillId="3" borderId="21" xfId="0" applyFont="1" applyFill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6" fillId="0" borderId="22" xfId="0" applyFont="1" applyBorder="1"/>
    <xf numFmtId="0" fontId="15" fillId="3" borderId="18" xfId="0" applyFont="1" applyFill="1" applyBorder="1" applyAlignment="1">
      <alignment horizontal="left" vertical="center" wrapText="1"/>
    </xf>
    <xf numFmtId="0" fontId="16" fillId="0" borderId="18" xfId="0" applyFont="1" applyBorder="1" applyAlignment="1">
      <alignment horizontal="left" wrapText="1"/>
    </xf>
    <xf numFmtId="0" fontId="15" fillId="0" borderId="16" xfId="0" applyFont="1" applyBorder="1" applyAlignment="1">
      <alignment horizontal="left" vertical="center" wrapText="1"/>
    </xf>
    <xf numFmtId="0" fontId="6" fillId="0" borderId="26" xfId="0" applyFont="1" applyBorder="1"/>
    <xf numFmtId="0" fontId="16" fillId="0" borderId="21" xfId="0" applyFont="1" applyBorder="1" applyAlignment="1">
      <alignment horizontal="left" wrapText="1"/>
    </xf>
    <xf numFmtId="0" fontId="6" fillId="0" borderId="31" xfId="0" applyFont="1" applyBorder="1"/>
    <xf numFmtId="0" fontId="11" fillId="0" borderId="3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1" xfId="0" applyFont="1" applyBorder="1" applyAlignment="1">
      <alignment vertical="center"/>
    </xf>
    <xf numFmtId="0" fontId="16" fillId="0" borderId="7" xfId="0" applyFont="1" applyBorder="1" applyAlignment="1">
      <alignment vertical="center" wrapText="1"/>
    </xf>
    <xf numFmtId="0" fontId="6" fillId="0" borderId="33" xfId="0" applyFont="1" applyBorder="1"/>
    <xf numFmtId="0" fontId="17" fillId="4" borderId="18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123825</xdr:colOff>
      <xdr:row>1</xdr:row>
      <xdr:rowOff>228600</xdr:rowOff>
    </xdr:from>
    <xdr:ext cx="638175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1</xdr:row>
      <xdr:rowOff>228600</xdr:rowOff>
    </xdr:from>
    <xdr:ext cx="676275" cy="5905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171450</xdr:colOff>
      <xdr:row>1</xdr:row>
      <xdr:rowOff>238125</xdr:rowOff>
    </xdr:from>
    <xdr:ext cx="676275" cy="5905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438150</xdr:colOff>
      <xdr:row>1</xdr:row>
      <xdr:rowOff>228600</xdr:rowOff>
    </xdr:from>
    <xdr:ext cx="676275" cy="64770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  <pageSetUpPr fitToPage="1"/>
  </sheetPr>
  <dimension ref="A1:AS619"/>
  <sheetViews>
    <sheetView tabSelected="1" topLeftCell="F1" zoomScale="61" zoomScaleNormal="61" workbookViewId="0">
      <selection activeCell="V27" sqref="V27:AF28"/>
    </sheetView>
  </sheetViews>
  <sheetFormatPr defaultColWidth="12.6328125" defaultRowHeight="15.75" customHeight="1" x14ac:dyDescent="0.25"/>
  <cols>
    <col min="1" max="1" width="11.26953125" customWidth="1"/>
    <col min="2" max="2" width="3.453125" customWidth="1"/>
    <col min="3" max="3" width="17.6328125" customWidth="1"/>
    <col min="4" max="4" width="6.08984375" customWidth="1"/>
    <col min="5" max="6" width="4.453125" customWidth="1"/>
    <col min="7" max="7" width="7.6328125" customWidth="1"/>
    <col min="8" max="11" width="4.453125" customWidth="1"/>
    <col min="12" max="12" width="7.36328125" customWidth="1"/>
    <col min="13" max="13" width="6" customWidth="1"/>
    <col min="14" max="14" width="7.36328125" customWidth="1"/>
    <col min="15" max="16" width="4.453125" customWidth="1"/>
    <col min="17" max="32" width="5" customWidth="1"/>
    <col min="33" max="42" width="6" customWidth="1"/>
    <col min="43" max="43" width="27" customWidth="1"/>
    <col min="44" max="44" width="4.453125" customWidth="1"/>
    <col min="45" max="45" width="20.08984375" customWidth="1"/>
  </cols>
  <sheetData>
    <row r="1" spans="1:45" ht="21.5" x14ac:dyDescent="0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4"/>
      <c r="M1" s="4"/>
      <c r="N1" s="4"/>
      <c r="O1" s="5"/>
      <c r="P1" s="5"/>
      <c r="Q1" s="68" t="s">
        <v>0</v>
      </c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70"/>
      <c r="AE1" s="71" t="s">
        <v>1</v>
      </c>
      <c r="AF1" s="72"/>
      <c r="AG1" s="72"/>
      <c r="AH1" s="73"/>
      <c r="AI1" s="6"/>
      <c r="AJ1" s="7"/>
      <c r="AK1" s="7"/>
      <c r="AL1" s="8"/>
      <c r="AM1" s="7"/>
      <c r="AN1" s="77" t="s">
        <v>2</v>
      </c>
      <c r="AO1" s="72"/>
      <c r="AP1" s="72"/>
      <c r="AQ1" s="73"/>
      <c r="AR1" s="9"/>
      <c r="AS1" s="10"/>
    </row>
    <row r="2" spans="1:45" ht="16.5" x14ac:dyDescent="0.3">
      <c r="A2" s="1"/>
      <c r="B2" s="11"/>
      <c r="C2" s="11"/>
      <c r="D2" s="11"/>
      <c r="E2" s="11"/>
      <c r="F2" s="11"/>
      <c r="G2" s="11"/>
      <c r="H2" s="11"/>
      <c r="I2" s="11"/>
      <c r="J2" s="12"/>
      <c r="K2" s="13"/>
      <c r="L2" s="14"/>
      <c r="M2" s="11"/>
      <c r="O2" s="13"/>
      <c r="P2" s="13"/>
      <c r="Q2" s="78" t="s">
        <v>3</v>
      </c>
      <c r="R2" s="69"/>
      <c r="S2" s="79" t="str">
        <f>CONCATENATE(A2,"    ( ",E1," )")</f>
        <v xml:space="preserve">    (  )</v>
      </c>
      <c r="T2" s="69"/>
      <c r="U2" s="69"/>
      <c r="V2" s="69"/>
      <c r="W2" s="69"/>
      <c r="X2" s="69"/>
      <c r="Y2" s="69"/>
      <c r="Z2" s="69"/>
      <c r="AA2" s="69"/>
      <c r="AB2" s="69"/>
      <c r="AC2" s="69"/>
      <c r="AD2" s="70"/>
      <c r="AE2" s="74"/>
      <c r="AF2" s="75"/>
      <c r="AG2" s="75"/>
      <c r="AH2" s="76"/>
      <c r="AI2" s="15"/>
      <c r="AJ2" s="16"/>
      <c r="AK2" s="16"/>
      <c r="AL2" s="17"/>
      <c r="AM2" s="16"/>
      <c r="AN2" s="16"/>
      <c r="AO2" s="80" t="s">
        <v>4</v>
      </c>
      <c r="AP2" s="69"/>
      <c r="AQ2" s="18"/>
      <c r="AR2" s="9"/>
      <c r="AS2" s="10"/>
    </row>
    <row r="3" spans="1:45" ht="45" customHeight="1" x14ac:dyDescent="0.7">
      <c r="A3" s="19"/>
      <c r="B3" s="20"/>
      <c r="C3" s="20"/>
      <c r="D3" s="20"/>
      <c r="E3" s="20"/>
      <c r="F3" s="20"/>
      <c r="G3" s="20"/>
      <c r="H3" s="20"/>
      <c r="I3" s="20"/>
      <c r="J3" s="12"/>
      <c r="K3" s="3"/>
      <c r="L3" s="3"/>
      <c r="M3" s="11"/>
      <c r="O3" s="21"/>
      <c r="P3" s="21"/>
      <c r="Q3" s="54" t="s">
        <v>5</v>
      </c>
      <c r="R3" s="55"/>
      <c r="S3" s="55"/>
      <c r="T3" s="55"/>
      <c r="U3" s="55"/>
      <c r="V3" s="55"/>
      <c r="W3" s="55"/>
      <c r="X3" s="56"/>
      <c r="Y3" s="81" t="s">
        <v>6</v>
      </c>
      <c r="Z3" s="55"/>
      <c r="AA3" s="55"/>
      <c r="AB3" s="55"/>
      <c r="AC3" s="55"/>
      <c r="AD3" s="55"/>
      <c r="AE3" s="55"/>
      <c r="AF3" s="56"/>
      <c r="AG3" s="81" t="s">
        <v>7</v>
      </c>
      <c r="AH3" s="55"/>
      <c r="AI3" s="55"/>
      <c r="AJ3" s="55"/>
      <c r="AK3" s="55"/>
      <c r="AL3" s="55"/>
      <c r="AM3" s="55"/>
      <c r="AN3" s="56"/>
      <c r="AO3" s="81" t="s">
        <v>8</v>
      </c>
      <c r="AP3" s="55"/>
      <c r="AQ3" s="82"/>
      <c r="AR3" s="9"/>
      <c r="AS3" s="10"/>
    </row>
    <row r="4" spans="1:45" ht="56.25" customHeight="1" x14ac:dyDescent="0.7">
      <c r="A4" s="19"/>
      <c r="B4" s="20"/>
      <c r="C4" s="2"/>
      <c r="D4" s="2"/>
      <c r="E4" s="2"/>
      <c r="F4" s="2"/>
      <c r="G4" s="2"/>
      <c r="H4" s="2"/>
      <c r="I4" s="2"/>
      <c r="J4" s="12"/>
      <c r="K4" s="3"/>
      <c r="L4" s="3"/>
      <c r="M4" s="11"/>
      <c r="O4" s="21"/>
      <c r="P4" s="21"/>
      <c r="Q4" s="57"/>
      <c r="R4" s="58"/>
      <c r="S4" s="58"/>
      <c r="T4" s="58"/>
      <c r="U4" s="58"/>
      <c r="V4" s="58"/>
      <c r="W4" s="58"/>
      <c r="X4" s="59"/>
      <c r="Y4" s="83"/>
      <c r="Z4" s="84"/>
      <c r="AA4" s="84"/>
      <c r="AB4" s="84"/>
      <c r="AC4" s="84"/>
      <c r="AD4" s="84"/>
      <c r="AE4" s="84"/>
      <c r="AF4" s="85"/>
      <c r="AG4" s="86"/>
      <c r="AH4" s="58"/>
      <c r="AI4" s="58"/>
      <c r="AJ4" s="58"/>
      <c r="AK4" s="58"/>
      <c r="AL4" s="58"/>
      <c r="AM4" s="58"/>
      <c r="AN4" s="59"/>
      <c r="AO4" s="87"/>
      <c r="AP4" s="84"/>
      <c r="AQ4" s="88"/>
      <c r="AR4" s="9"/>
      <c r="AS4" s="10"/>
    </row>
    <row r="5" spans="1:45" ht="56.25" customHeight="1" x14ac:dyDescent="0.7">
      <c r="A5" s="19"/>
      <c r="B5" s="20"/>
      <c r="C5" s="2"/>
      <c r="D5" s="2"/>
      <c r="E5" s="2"/>
      <c r="F5" s="2"/>
      <c r="G5" s="2"/>
      <c r="H5" s="2"/>
      <c r="I5" s="2"/>
      <c r="J5" s="12"/>
      <c r="K5" s="3"/>
      <c r="L5" s="3"/>
      <c r="M5" s="11"/>
      <c r="O5" s="21"/>
      <c r="P5" s="21"/>
      <c r="Q5" s="60"/>
      <c r="R5" s="61"/>
      <c r="S5" s="61"/>
      <c r="T5" s="61"/>
      <c r="U5" s="61"/>
      <c r="V5" s="61"/>
      <c r="W5" s="61"/>
      <c r="X5" s="62"/>
      <c r="Y5" s="83"/>
      <c r="Z5" s="84"/>
      <c r="AA5" s="84"/>
      <c r="AB5" s="84"/>
      <c r="AC5" s="84"/>
      <c r="AD5" s="84"/>
      <c r="AE5" s="84"/>
      <c r="AF5" s="85"/>
      <c r="AG5" s="89"/>
      <c r="AH5" s="84"/>
      <c r="AI5" s="84"/>
      <c r="AJ5" s="84"/>
      <c r="AK5" s="84"/>
      <c r="AL5" s="84"/>
      <c r="AM5" s="84"/>
      <c r="AN5" s="85"/>
      <c r="AO5" s="87"/>
      <c r="AP5" s="84"/>
      <c r="AQ5" s="88"/>
      <c r="AR5" s="9"/>
      <c r="AS5" s="10"/>
    </row>
    <row r="6" spans="1:45" ht="56.25" customHeight="1" x14ac:dyDescent="0.25">
      <c r="A6" s="19"/>
      <c r="B6" s="20"/>
      <c r="C6" s="2"/>
      <c r="D6" s="2"/>
      <c r="E6" s="2"/>
      <c r="F6" s="2"/>
      <c r="G6" s="2"/>
      <c r="H6" s="2"/>
      <c r="I6" s="2"/>
      <c r="J6" s="12"/>
      <c r="K6" s="3"/>
      <c r="L6" s="3"/>
      <c r="M6" s="11"/>
      <c r="O6" s="9"/>
      <c r="P6" s="9"/>
      <c r="Q6" s="57"/>
      <c r="R6" s="58"/>
      <c r="S6" s="58"/>
      <c r="T6" s="58"/>
      <c r="U6" s="58"/>
      <c r="V6" s="58"/>
      <c r="W6" s="58"/>
      <c r="X6" s="59"/>
      <c r="Y6" s="87"/>
      <c r="Z6" s="84"/>
      <c r="AA6" s="84"/>
      <c r="AB6" s="84"/>
      <c r="AC6" s="84"/>
      <c r="AD6" s="84"/>
      <c r="AE6" s="84"/>
      <c r="AF6" s="85"/>
      <c r="AG6" s="89"/>
      <c r="AH6" s="84"/>
      <c r="AI6" s="84"/>
      <c r="AJ6" s="84"/>
      <c r="AK6" s="84"/>
      <c r="AL6" s="84"/>
      <c r="AM6" s="84"/>
      <c r="AN6" s="85"/>
      <c r="AO6" s="87"/>
      <c r="AP6" s="84"/>
      <c r="AQ6" s="88"/>
      <c r="AR6" s="9"/>
      <c r="AS6" s="10"/>
    </row>
    <row r="7" spans="1:45" ht="56.25" customHeight="1" x14ac:dyDescent="0.35">
      <c r="A7" s="2"/>
      <c r="B7" s="20"/>
      <c r="C7" s="2"/>
      <c r="D7" s="2"/>
      <c r="E7" s="2"/>
      <c r="F7" s="2"/>
      <c r="G7" s="2"/>
      <c r="H7" s="2"/>
      <c r="I7" s="2"/>
      <c r="J7" s="12"/>
      <c r="K7" s="3"/>
      <c r="L7" s="3"/>
      <c r="M7" s="11"/>
      <c r="O7" s="9"/>
      <c r="P7" s="9"/>
      <c r="Q7" s="60"/>
      <c r="R7" s="61"/>
      <c r="S7" s="61"/>
      <c r="T7" s="61"/>
      <c r="U7" s="61"/>
      <c r="V7" s="61"/>
      <c r="W7" s="61"/>
      <c r="X7" s="62"/>
      <c r="Y7" s="90"/>
      <c r="Z7" s="84"/>
      <c r="AA7" s="84"/>
      <c r="AB7" s="84"/>
      <c r="AC7" s="84"/>
      <c r="AD7" s="84"/>
      <c r="AE7" s="84"/>
      <c r="AF7" s="85"/>
      <c r="AG7" s="89"/>
      <c r="AH7" s="84"/>
      <c r="AI7" s="84"/>
      <c r="AJ7" s="84"/>
      <c r="AK7" s="84"/>
      <c r="AL7" s="84"/>
      <c r="AM7" s="84"/>
      <c r="AN7" s="85"/>
      <c r="AO7" s="91"/>
      <c r="AP7" s="58"/>
      <c r="AQ7" s="92"/>
      <c r="AR7" s="9"/>
      <c r="AS7" s="10"/>
    </row>
    <row r="8" spans="1:45" ht="26.25" customHeight="1" x14ac:dyDescent="0.35">
      <c r="A8" s="2"/>
      <c r="B8" s="20"/>
      <c r="C8" s="2"/>
      <c r="D8" s="2"/>
      <c r="E8" s="2"/>
      <c r="F8" s="2"/>
      <c r="G8" s="2"/>
      <c r="H8" s="2"/>
      <c r="I8" s="2"/>
      <c r="J8" s="12"/>
      <c r="K8" s="3"/>
      <c r="L8" s="3"/>
      <c r="M8" s="11"/>
      <c r="O8" s="9"/>
      <c r="P8" s="9"/>
      <c r="Q8" s="57"/>
      <c r="R8" s="58"/>
      <c r="S8" s="58"/>
      <c r="T8" s="58"/>
      <c r="U8" s="58"/>
      <c r="V8" s="58"/>
      <c r="W8" s="58"/>
      <c r="X8" s="59"/>
      <c r="Y8" s="93"/>
      <c r="Z8" s="58"/>
      <c r="AA8" s="58"/>
      <c r="AB8" s="58"/>
      <c r="AC8" s="58"/>
      <c r="AD8" s="58"/>
      <c r="AE8" s="58"/>
      <c r="AF8" s="59"/>
      <c r="AG8" s="100" t="s">
        <v>9</v>
      </c>
      <c r="AH8" s="85"/>
      <c r="AI8" s="22" t="s">
        <v>10</v>
      </c>
      <c r="AJ8" s="101" t="s">
        <v>11</v>
      </c>
      <c r="AK8" s="84"/>
      <c r="AL8" s="84"/>
      <c r="AM8" s="85"/>
      <c r="AN8" s="22" t="s">
        <v>10</v>
      </c>
      <c r="AO8" s="100" t="s">
        <v>12</v>
      </c>
      <c r="AP8" s="85"/>
      <c r="AQ8" s="23" t="s">
        <v>13</v>
      </c>
      <c r="AR8" s="9"/>
      <c r="AS8" s="10"/>
    </row>
    <row r="9" spans="1:45" ht="16.5" customHeight="1" x14ac:dyDescent="0.35">
      <c r="A9" s="2"/>
      <c r="B9" s="20"/>
      <c r="C9" s="2"/>
      <c r="D9" s="2"/>
      <c r="E9" s="2"/>
      <c r="F9" s="2"/>
      <c r="G9" s="2"/>
      <c r="H9" s="2"/>
      <c r="I9" s="2"/>
      <c r="J9" s="12"/>
      <c r="K9" s="3"/>
      <c r="L9" s="3"/>
      <c r="M9" s="11"/>
      <c r="O9" s="9"/>
      <c r="P9" s="9"/>
      <c r="Q9" s="63"/>
      <c r="R9" s="64"/>
      <c r="S9" s="64"/>
      <c r="T9" s="64"/>
      <c r="U9" s="64"/>
      <c r="V9" s="64"/>
      <c r="W9" s="64"/>
      <c r="X9" s="65"/>
      <c r="Y9" s="94"/>
      <c r="Z9" s="61"/>
      <c r="AA9" s="61"/>
      <c r="AB9" s="61"/>
      <c r="AC9" s="61"/>
      <c r="AD9" s="61"/>
      <c r="AE9" s="61"/>
      <c r="AF9" s="62"/>
      <c r="AG9" s="24">
        <v>1</v>
      </c>
      <c r="AH9" s="24">
        <v>2</v>
      </c>
      <c r="AI9" s="25">
        <v>3</v>
      </c>
      <c r="AJ9" s="26">
        <v>4</v>
      </c>
      <c r="AK9" s="26">
        <v>5</v>
      </c>
      <c r="AL9" s="26">
        <v>6</v>
      </c>
      <c r="AM9" s="26">
        <v>7</v>
      </c>
      <c r="AN9" s="25">
        <v>8</v>
      </c>
      <c r="AO9" s="24">
        <v>9</v>
      </c>
      <c r="AP9" s="24">
        <v>10</v>
      </c>
      <c r="AQ9" s="27"/>
      <c r="AR9" s="9"/>
      <c r="AS9" s="10"/>
    </row>
    <row r="10" spans="1:45" ht="18" customHeight="1" x14ac:dyDescent="0.25">
      <c r="A10" s="2"/>
      <c r="B10" s="20"/>
      <c r="C10" s="2"/>
      <c r="D10" s="2"/>
      <c r="E10" s="2"/>
      <c r="F10" s="2"/>
      <c r="G10" s="2"/>
      <c r="H10" s="2"/>
      <c r="I10" s="2"/>
      <c r="J10" s="12"/>
      <c r="K10" s="3"/>
      <c r="L10" s="3"/>
      <c r="M10" s="11"/>
      <c r="O10" s="9"/>
      <c r="P10" s="9"/>
      <c r="Q10" s="63"/>
      <c r="R10" s="64"/>
      <c r="S10" s="64"/>
      <c r="T10" s="64"/>
      <c r="U10" s="64"/>
      <c r="V10" s="64"/>
      <c r="W10" s="64"/>
      <c r="X10" s="65"/>
      <c r="Y10" s="93"/>
      <c r="Z10" s="58"/>
      <c r="AA10" s="58"/>
      <c r="AB10" s="58"/>
      <c r="AC10" s="58"/>
      <c r="AD10" s="58"/>
      <c r="AE10" s="58"/>
      <c r="AF10" s="59"/>
      <c r="AG10" s="28" t="str">
        <f t="shared" ref="AG10:AG29" si="0">IF($M3=1,$A$5,"")</f>
        <v/>
      </c>
      <c r="AH10" s="29" t="str">
        <f t="shared" ref="AH10:AH29" si="1">IF($M3=2,$A$5,"")</f>
        <v/>
      </c>
      <c r="AI10" s="30" t="str">
        <f t="shared" ref="AI10:AI29" si="2">IF($M3=3,$A$4,"")</f>
        <v/>
      </c>
      <c r="AJ10" s="31" t="str">
        <f t="shared" ref="AJ10:AJ29" si="3">IF($M3=4,$A$3,"")</f>
        <v/>
      </c>
      <c r="AK10" s="32" t="str">
        <f t="shared" ref="AK10:AK29" si="4">IF($M3=5,$A$3,"")</f>
        <v/>
      </c>
      <c r="AL10" s="32" t="str">
        <f t="shared" ref="AL10:AL29" si="5">IF($M3=6,$A$3,"")</f>
        <v/>
      </c>
      <c r="AM10" s="32" t="str">
        <f t="shared" ref="AM10:AM29" si="6">IF($M3=7,$A$3,"")</f>
        <v/>
      </c>
      <c r="AN10" s="30" t="str">
        <f t="shared" ref="AN10:AN29" si="7">IF($M3=8,$A$4,"")</f>
        <v/>
      </c>
      <c r="AO10" s="29" t="str">
        <f t="shared" ref="AO10:AO29" si="8">IF($M3=9,$A$5,"")</f>
        <v/>
      </c>
      <c r="AP10" s="29" t="str">
        <f t="shared" ref="AP10:AP29" si="9">IF($M3=10,$A$5,"")</f>
        <v/>
      </c>
      <c r="AQ10" s="33" t="s">
        <v>14</v>
      </c>
      <c r="AR10" s="9"/>
      <c r="AS10" s="10"/>
    </row>
    <row r="11" spans="1:45" ht="18" customHeight="1" x14ac:dyDescent="0.25">
      <c r="A11" s="2"/>
      <c r="B11" s="20"/>
      <c r="C11" s="2"/>
      <c r="D11" s="2"/>
      <c r="E11" s="2"/>
      <c r="F11" s="2"/>
      <c r="G11" s="2"/>
      <c r="H11" s="2"/>
      <c r="I11" s="2"/>
      <c r="J11" s="12"/>
      <c r="K11" s="3"/>
      <c r="L11" s="3"/>
      <c r="M11" s="11"/>
      <c r="O11" s="9"/>
      <c r="P11" s="9"/>
      <c r="Q11" s="63"/>
      <c r="R11" s="64"/>
      <c r="S11" s="64"/>
      <c r="T11" s="64"/>
      <c r="U11" s="64"/>
      <c r="V11" s="64"/>
      <c r="W11" s="64"/>
      <c r="X11" s="65"/>
      <c r="Y11" s="94"/>
      <c r="Z11" s="61"/>
      <c r="AA11" s="61"/>
      <c r="AB11" s="61"/>
      <c r="AC11" s="61"/>
      <c r="AD11" s="61"/>
      <c r="AE11" s="61"/>
      <c r="AF11" s="62"/>
      <c r="AG11" s="28" t="str">
        <f t="shared" si="0"/>
        <v/>
      </c>
      <c r="AH11" s="29" t="str">
        <f t="shared" si="1"/>
        <v/>
      </c>
      <c r="AI11" s="30" t="str">
        <f t="shared" si="2"/>
        <v/>
      </c>
      <c r="AJ11" s="31" t="str">
        <f t="shared" si="3"/>
        <v/>
      </c>
      <c r="AK11" s="32" t="str">
        <f t="shared" si="4"/>
        <v/>
      </c>
      <c r="AL11" s="32" t="str">
        <f t="shared" si="5"/>
        <v/>
      </c>
      <c r="AM11" s="32" t="str">
        <f t="shared" si="6"/>
        <v/>
      </c>
      <c r="AN11" s="30" t="str">
        <f t="shared" si="7"/>
        <v/>
      </c>
      <c r="AO11" s="29" t="str">
        <f t="shared" si="8"/>
        <v/>
      </c>
      <c r="AP11" s="29" t="str">
        <f t="shared" si="9"/>
        <v/>
      </c>
      <c r="AQ11" s="33" t="s">
        <v>15</v>
      </c>
      <c r="AR11" s="9"/>
      <c r="AS11" s="10"/>
    </row>
    <row r="12" spans="1:45" ht="18" customHeight="1" x14ac:dyDescent="0.25">
      <c r="A12" s="2"/>
      <c r="B12" s="20"/>
      <c r="C12" s="2"/>
      <c r="D12" s="2"/>
      <c r="E12" s="2"/>
      <c r="F12" s="2"/>
      <c r="G12" s="2"/>
      <c r="H12" s="2"/>
      <c r="I12" s="2"/>
      <c r="J12" s="12"/>
      <c r="K12" s="3"/>
      <c r="L12" s="3"/>
      <c r="M12" s="11"/>
      <c r="O12" s="9"/>
      <c r="P12" s="9"/>
      <c r="Q12" s="60"/>
      <c r="R12" s="61"/>
      <c r="S12" s="61"/>
      <c r="T12" s="61"/>
      <c r="U12" s="61"/>
      <c r="V12" s="61"/>
      <c r="W12" s="61"/>
      <c r="X12" s="62"/>
      <c r="Y12" s="93"/>
      <c r="Z12" s="58"/>
      <c r="AA12" s="58"/>
      <c r="AB12" s="58"/>
      <c r="AC12" s="58"/>
      <c r="AD12" s="58"/>
      <c r="AE12" s="58"/>
      <c r="AF12" s="59"/>
      <c r="AG12" s="28" t="str">
        <f t="shared" si="0"/>
        <v/>
      </c>
      <c r="AH12" s="29" t="str">
        <f t="shared" si="1"/>
        <v/>
      </c>
      <c r="AI12" s="30" t="str">
        <f t="shared" si="2"/>
        <v/>
      </c>
      <c r="AJ12" s="31" t="str">
        <f t="shared" si="3"/>
        <v/>
      </c>
      <c r="AK12" s="32" t="str">
        <f t="shared" si="4"/>
        <v/>
      </c>
      <c r="AL12" s="32" t="str">
        <f t="shared" si="5"/>
        <v/>
      </c>
      <c r="AM12" s="32" t="str">
        <f t="shared" si="6"/>
        <v/>
      </c>
      <c r="AN12" s="30" t="str">
        <f t="shared" si="7"/>
        <v/>
      </c>
      <c r="AO12" s="29" t="str">
        <f t="shared" si="8"/>
        <v/>
      </c>
      <c r="AP12" s="29" t="str">
        <f t="shared" si="9"/>
        <v/>
      </c>
      <c r="AQ12" s="33" t="s">
        <v>16</v>
      </c>
      <c r="AR12" s="9"/>
      <c r="AS12" s="10"/>
    </row>
    <row r="13" spans="1:45" ht="18" customHeight="1" x14ac:dyDescent="0.25">
      <c r="A13" s="2"/>
      <c r="B13" s="20"/>
      <c r="C13" s="2"/>
      <c r="D13" s="2"/>
      <c r="E13" s="2"/>
      <c r="F13" s="2"/>
      <c r="G13" s="2"/>
      <c r="H13" s="2"/>
      <c r="I13" s="2"/>
      <c r="J13" s="12"/>
      <c r="K13" s="3"/>
      <c r="L13" s="3"/>
      <c r="M13" s="11"/>
      <c r="O13" s="9"/>
      <c r="P13" s="9"/>
      <c r="Q13" s="57"/>
      <c r="R13" s="58"/>
      <c r="S13" s="58"/>
      <c r="T13" s="58"/>
      <c r="U13" s="58"/>
      <c r="V13" s="58"/>
      <c r="W13" s="58"/>
      <c r="X13" s="59"/>
      <c r="Y13" s="94"/>
      <c r="Z13" s="61"/>
      <c r="AA13" s="61"/>
      <c r="AB13" s="61"/>
      <c r="AC13" s="61"/>
      <c r="AD13" s="61"/>
      <c r="AE13" s="61"/>
      <c r="AF13" s="62"/>
      <c r="AG13" s="28" t="str">
        <f t="shared" si="0"/>
        <v/>
      </c>
      <c r="AH13" s="29" t="str">
        <f t="shared" si="1"/>
        <v/>
      </c>
      <c r="AI13" s="30" t="str">
        <f t="shared" si="2"/>
        <v/>
      </c>
      <c r="AJ13" s="31" t="str">
        <f t="shared" si="3"/>
        <v/>
      </c>
      <c r="AK13" s="32" t="str">
        <f t="shared" si="4"/>
        <v/>
      </c>
      <c r="AL13" s="32" t="str">
        <f t="shared" si="5"/>
        <v/>
      </c>
      <c r="AM13" s="32" t="str">
        <f t="shared" si="6"/>
        <v/>
      </c>
      <c r="AN13" s="30" t="str">
        <f t="shared" si="7"/>
        <v/>
      </c>
      <c r="AO13" s="29" t="str">
        <f t="shared" si="8"/>
        <v/>
      </c>
      <c r="AP13" s="29" t="str">
        <f t="shared" si="9"/>
        <v/>
      </c>
      <c r="AQ13" s="33" t="s">
        <v>17</v>
      </c>
      <c r="AR13" s="9"/>
      <c r="AS13" s="10"/>
    </row>
    <row r="14" spans="1:45" ht="18" customHeight="1" x14ac:dyDescent="0.25">
      <c r="A14" s="2"/>
      <c r="B14" s="20"/>
      <c r="C14" s="2"/>
      <c r="D14" s="2"/>
      <c r="E14" s="2"/>
      <c r="F14" s="2"/>
      <c r="G14" s="2"/>
      <c r="H14" s="2"/>
      <c r="I14" s="2"/>
      <c r="J14" s="12"/>
      <c r="K14" s="3"/>
      <c r="L14" s="34"/>
      <c r="M14" s="11"/>
      <c r="O14" s="9"/>
      <c r="P14" s="9"/>
      <c r="Q14" s="63"/>
      <c r="R14" s="64"/>
      <c r="S14" s="64"/>
      <c r="T14" s="64"/>
      <c r="U14" s="64"/>
      <c r="V14" s="64"/>
      <c r="W14" s="64"/>
      <c r="X14" s="65"/>
      <c r="Y14" s="93"/>
      <c r="Z14" s="58"/>
      <c r="AA14" s="58"/>
      <c r="AB14" s="58"/>
      <c r="AC14" s="58"/>
      <c r="AD14" s="58"/>
      <c r="AE14" s="58"/>
      <c r="AF14" s="59"/>
      <c r="AG14" s="28" t="str">
        <f t="shared" si="0"/>
        <v/>
      </c>
      <c r="AH14" s="29" t="str">
        <f t="shared" si="1"/>
        <v/>
      </c>
      <c r="AI14" s="30" t="str">
        <f t="shared" si="2"/>
        <v/>
      </c>
      <c r="AJ14" s="31" t="str">
        <f t="shared" si="3"/>
        <v/>
      </c>
      <c r="AK14" s="32" t="str">
        <f t="shared" si="4"/>
        <v/>
      </c>
      <c r="AL14" s="32" t="str">
        <f t="shared" si="5"/>
        <v/>
      </c>
      <c r="AM14" s="32" t="str">
        <f t="shared" si="6"/>
        <v/>
      </c>
      <c r="AN14" s="30" t="str">
        <f t="shared" si="7"/>
        <v/>
      </c>
      <c r="AO14" s="29" t="str">
        <f t="shared" si="8"/>
        <v/>
      </c>
      <c r="AP14" s="29" t="str">
        <f t="shared" si="9"/>
        <v/>
      </c>
      <c r="AQ14" s="33" t="s">
        <v>18</v>
      </c>
      <c r="AR14" s="9"/>
      <c r="AS14" s="10"/>
    </row>
    <row r="15" spans="1:45" ht="18" customHeight="1" x14ac:dyDescent="0.25">
      <c r="A15" s="2"/>
      <c r="B15" s="20"/>
      <c r="C15" s="2"/>
      <c r="D15" s="2"/>
      <c r="E15" s="2"/>
      <c r="F15" s="2"/>
      <c r="G15" s="2"/>
      <c r="H15" s="2"/>
      <c r="I15" s="2"/>
      <c r="J15" s="12"/>
      <c r="K15" s="3"/>
      <c r="L15" s="34"/>
      <c r="M15" s="11"/>
      <c r="O15" s="9"/>
      <c r="P15" s="9"/>
      <c r="Q15" s="63"/>
      <c r="R15" s="64"/>
      <c r="S15" s="64"/>
      <c r="T15" s="64"/>
      <c r="U15" s="64"/>
      <c r="V15" s="64"/>
      <c r="W15" s="64"/>
      <c r="X15" s="65"/>
      <c r="Y15" s="94"/>
      <c r="Z15" s="61"/>
      <c r="AA15" s="61"/>
      <c r="AB15" s="61"/>
      <c r="AC15" s="61"/>
      <c r="AD15" s="61"/>
      <c r="AE15" s="61"/>
      <c r="AF15" s="62"/>
      <c r="AG15" s="28" t="str">
        <f t="shared" si="0"/>
        <v/>
      </c>
      <c r="AH15" s="29" t="str">
        <f t="shared" si="1"/>
        <v/>
      </c>
      <c r="AI15" s="30" t="str">
        <f t="shared" si="2"/>
        <v/>
      </c>
      <c r="AJ15" s="31" t="str">
        <f t="shared" si="3"/>
        <v/>
      </c>
      <c r="AK15" s="32" t="str">
        <f t="shared" si="4"/>
        <v/>
      </c>
      <c r="AL15" s="32" t="str">
        <f t="shared" si="5"/>
        <v/>
      </c>
      <c r="AM15" s="32" t="str">
        <f t="shared" si="6"/>
        <v/>
      </c>
      <c r="AN15" s="30" t="str">
        <f t="shared" si="7"/>
        <v/>
      </c>
      <c r="AO15" s="29" t="str">
        <f t="shared" si="8"/>
        <v/>
      </c>
      <c r="AP15" s="29" t="str">
        <f t="shared" si="9"/>
        <v/>
      </c>
      <c r="AQ15" s="33" t="s">
        <v>19</v>
      </c>
      <c r="AR15" s="9"/>
      <c r="AS15" s="10"/>
    </row>
    <row r="16" spans="1:45" ht="18" customHeight="1" x14ac:dyDescent="0.25">
      <c r="A16" s="2"/>
      <c r="B16" s="20"/>
      <c r="C16" s="2"/>
      <c r="D16" s="2"/>
      <c r="E16" s="2"/>
      <c r="F16" s="2"/>
      <c r="G16" s="2"/>
      <c r="H16" s="2"/>
      <c r="I16" s="2"/>
      <c r="J16" s="12"/>
      <c r="K16" s="3"/>
      <c r="L16" s="34"/>
      <c r="M16" s="11"/>
      <c r="O16" s="9"/>
      <c r="P16" s="9"/>
      <c r="Q16" s="60"/>
      <c r="R16" s="61"/>
      <c r="S16" s="61"/>
      <c r="T16" s="61"/>
      <c r="U16" s="61"/>
      <c r="V16" s="61"/>
      <c r="W16" s="61"/>
      <c r="X16" s="62"/>
      <c r="Y16" s="93"/>
      <c r="Z16" s="58"/>
      <c r="AA16" s="58"/>
      <c r="AB16" s="58"/>
      <c r="AC16" s="58"/>
      <c r="AD16" s="58"/>
      <c r="AE16" s="58"/>
      <c r="AF16" s="59"/>
      <c r="AG16" s="28" t="str">
        <f t="shared" si="0"/>
        <v/>
      </c>
      <c r="AH16" s="29" t="str">
        <f t="shared" si="1"/>
        <v/>
      </c>
      <c r="AI16" s="30" t="str">
        <f t="shared" si="2"/>
        <v/>
      </c>
      <c r="AJ16" s="31" t="str">
        <f t="shared" si="3"/>
        <v/>
      </c>
      <c r="AK16" s="32" t="str">
        <f t="shared" si="4"/>
        <v/>
      </c>
      <c r="AL16" s="32" t="str">
        <f t="shared" si="5"/>
        <v/>
      </c>
      <c r="AM16" s="32" t="str">
        <f t="shared" si="6"/>
        <v/>
      </c>
      <c r="AN16" s="30" t="str">
        <f t="shared" si="7"/>
        <v/>
      </c>
      <c r="AO16" s="29" t="str">
        <f t="shared" si="8"/>
        <v/>
      </c>
      <c r="AP16" s="29" t="str">
        <f t="shared" si="9"/>
        <v/>
      </c>
      <c r="AQ16" s="33" t="s">
        <v>20</v>
      </c>
      <c r="AR16" s="9"/>
      <c r="AS16" s="10"/>
    </row>
    <row r="17" spans="1:45" ht="18" customHeight="1" x14ac:dyDescent="0.25">
      <c r="A17" s="2"/>
      <c r="B17" s="20"/>
      <c r="C17" s="2"/>
      <c r="D17" s="2"/>
      <c r="E17" s="2"/>
      <c r="F17" s="2"/>
      <c r="G17" s="2"/>
      <c r="H17" s="2"/>
      <c r="I17" s="2"/>
      <c r="J17" s="12"/>
      <c r="K17" s="3"/>
      <c r="L17" s="34"/>
      <c r="M17" s="11"/>
      <c r="O17" s="9"/>
      <c r="P17" s="9"/>
      <c r="Q17" s="66"/>
      <c r="R17" s="58"/>
      <c r="S17" s="58"/>
      <c r="T17" s="58"/>
      <c r="U17" s="58"/>
      <c r="V17" s="58"/>
      <c r="W17" s="58"/>
      <c r="X17" s="59"/>
      <c r="Y17" s="94"/>
      <c r="Z17" s="61"/>
      <c r="AA17" s="61"/>
      <c r="AB17" s="61"/>
      <c r="AC17" s="61"/>
      <c r="AD17" s="61"/>
      <c r="AE17" s="61"/>
      <c r="AF17" s="62"/>
      <c r="AG17" s="28" t="str">
        <f t="shared" si="0"/>
        <v/>
      </c>
      <c r="AH17" s="29" t="str">
        <f t="shared" si="1"/>
        <v/>
      </c>
      <c r="AI17" s="30" t="str">
        <f t="shared" si="2"/>
        <v/>
      </c>
      <c r="AJ17" s="31" t="str">
        <f t="shared" si="3"/>
        <v/>
      </c>
      <c r="AK17" s="32" t="str">
        <f t="shared" si="4"/>
        <v/>
      </c>
      <c r="AL17" s="32" t="str">
        <f t="shared" si="5"/>
        <v/>
      </c>
      <c r="AM17" s="32" t="str">
        <f t="shared" si="6"/>
        <v/>
      </c>
      <c r="AN17" s="30" t="str">
        <f t="shared" si="7"/>
        <v/>
      </c>
      <c r="AO17" s="29" t="str">
        <f t="shared" si="8"/>
        <v/>
      </c>
      <c r="AP17" s="29" t="str">
        <f t="shared" si="9"/>
        <v/>
      </c>
      <c r="AQ17" s="33" t="s">
        <v>21</v>
      </c>
      <c r="AR17" s="9"/>
      <c r="AS17" s="10"/>
    </row>
    <row r="18" spans="1:45" ht="18" customHeight="1" x14ac:dyDescent="0.25">
      <c r="A18" s="2"/>
      <c r="B18" s="20"/>
      <c r="C18" s="2"/>
      <c r="D18" s="2"/>
      <c r="E18" s="2"/>
      <c r="F18" s="2"/>
      <c r="G18" s="2"/>
      <c r="H18" s="2"/>
      <c r="I18" s="2"/>
      <c r="J18" s="12"/>
      <c r="K18" s="3"/>
      <c r="L18" s="34"/>
      <c r="M18" s="11"/>
      <c r="O18" s="9"/>
      <c r="P18" s="9"/>
      <c r="Q18" s="63"/>
      <c r="R18" s="64"/>
      <c r="S18" s="64"/>
      <c r="T18" s="64"/>
      <c r="U18" s="64"/>
      <c r="V18" s="64"/>
      <c r="W18" s="64"/>
      <c r="X18" s="65"/>
      <c r="Y18" s="93"/>
      <c r="Z18" s="58"/>
      <c r="AA18" s="58"/>
      <c r="AB18" s="58"/>
      <c r="AC18" s="58"/>
      <c r="AD18" s="58"/>
      <c r="AE18" s="58"/>
      <c r="AF18" s="59"/>
      <c r="AG18" s="28" t="str">
        <f t="shared" si="0"/>
        <v/>
      </c>
      <c r="AH18" s="29" t="str">
        <f t="shared" si="1"/>
        <v/>
      </c>
      <c r="AI18" s="30" t="str">
        <f t="shared" si="2"/>
        <v/>
      </c>
      <c r="AJ18" s="31" t="str">
        <f t="shared" si="3"/>
        <v/>
      </c>
      <c r="AK18" s="32" t="str">
        <f t="shared" si="4"/>
        <v/>
      </c>
      <c r="AL18" s="32" t="str">
        <f t="shared" si="5"/>
        <v/>
      </c>
      <c r="AM18" s="32" t="str">
        <f t="shared" si="6"/>
        <v/>
      </c>
      <c r="AN18" s="30" t="str">
        <f t="shared" si="7"/>
        <v/>
      </c>
      <c r="AO18" s="29" t="str">
        <f t="shared" si="8"/>
        <v/>
      </c>
      <c r="AP18" s="29" t="str">
        <f t="shared" si="9"/>
        <v/>
      </c>
      <c r="AQ18" s="33" t="s">
        <v>22</v>
      </c>
      <c r="AR18" s="9"/>
      <c r="AS18" s="10"/>
    </row>
    <row r="19" spans="1:45" ht="18" customHeight="1" x14ac:dyDescent="0.25">
      <c r="A19" s="2"/>
      <c r="B19" s="20"/>
      <c r="C19" s="2"/>
      <c r="D19" s="2"/>
      <c r="E19" s="2"/>
      <c r="F19" s="2"/>
      <c r="G19" s="2"/>
      <c r="H19" s="2"/>
      <c r="I19" s="2"/>
      <c r="J19" s="12"/>
      <c r="K19" s="3"/>
      <c r="L19" s="3"/>
      <c r="M19" s="11"/>
      <c r="O19" s="9"/>
      <c r="P19" s="9"/>
      <c r="Q19" s="60"/>
      <c r="R19" s="61"/>
      <c r="S19" s="61"/>
      <c r="T19" s="61"/>
      <c r="U19" s="61"/>
      <c r="V19" s="61"/>
      <c r="W19" s="61"/>
      <c r="X19" s="62"/>
      <c r="Y19" s="94"/>
      <c r="Z19" s="61"/>
      <c r="AA19" s="61"/>
      <c r="AB19" s="61"/>
      <c r="AC19" s="61"/>
      <c r="AD19" s="61"/>
      <c r="AE19" s="61"/>
      <c r="AF19" s="62"/>
      <c r="AG19" s="28" t="str">
        <f t="shared" si="0"/>
        <v/>
      </c>
      <c r="AH19" s="29" t="str">
        <f t="shared" si="1"/>
        <v/>
      </c>
      <c r="AI19" s="30" t="str">
        <f t="shared" si="2"/>
        <v/>
      </c>
      <c r="AJ19" s="31" t="str">
        <f t="shared" si="3"/>
        <v/>
      </c>
      <c r="AK19" s="32" t="str">
        <f t="shared" si="4"/>
        <v/>
      </c>
      <c r="AL19" s="32" t="str">
        <f t="shared" si="5"/>
        <v/>
      </c>
      <c r="AM19" s="32" t="str">
        <f t="shared" si="6"/>
        <v/>
      </c>
      <c r="AN19" s="30" t="str">
        <f t="shared" si="7"/>
        <v/>
      </c>
      <c r="AO19" s="29" t="str">
        <f t="shared" si="8"/>
        <v/>
      </c>
      <c r="AP19" s="29" t="str">
        <f t="shared" si="9"/>
        <v/>
      </c>
      <c r="AQ19" s="33" t="s">
        <v>23</v>
      </c>
      <c r="AR19" s="9"/>
      <c r="AS19" s="10"/>
    </row>
    <row r="20" spans="1:45" ht="18" customHeight="1" x14ac:dyDescent="0.25">
      <c r="A20" s="2"/>
      <c r="B20" s="20"/>
      <c r="C20" s="2"/>
      <c r="D20" s="2"/>
      <c r="E20" s="2"/>
      <c r="F20" s="2"/>
      <c r="G20" s="2"/>
      <c r="H20" s="2"/>
      <c r="I20" s="2"/>
      <c r="J20" s="12"/>
      <c r="K20" s="3"/>
      <c r="L20" s="3"/>
      <c r="M20" s="11"/>
      <c r="O20" s="9"/>
      <c r="P20" s="9"/>
      <c r="Q20" s="95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5"/>
      <c r="AG20" s="28" t="str">
        <f t="shared" si="0"/>
        <v/>
      </c>
      <c r="AH20" s="29" t="str">
        <f t="shared" si="1"/>
        <v/>
      </c>
      <c r="AI20" s="30" t="str">
        <f t="shared" si="2"/>
        <v/>
      </c>
      <c r="AJ20" s="31" t="str">
        <f t="shared" si="3"/>
        <v/>
      </c>
      <c r="AK20" s="32" t="str">
        <f t="shared" si="4"/>
        <v/>
      </c>
      <c r="AL20" s="32" t="str">
        <f t="shared" si="5"/>
        <v/>
      </c>
      <c r="AM20" s="32" t="str">
        <f t="shared" si="6"/>
        <v/>
      </c>
      <c r="AN20" s="30" t="str">
        <f t="shared" si="7"/>
        <v/>
      </c>
      <c r="AO20" s="29" t="str">
        <f t="shared" si="8"/>
        <v/>
      </c>
      <c r="AP20" s="29" t="str">
        <f t="shared" si="9"/>
        <v/>
      </c>
      <c r="AQ20" s="33" t="s">
        <v>24</v>
      </c>
      <c r="AR20" s="9"/>
      <c r="AS20" s="10"/>
    </row>
    <row r="21" spans="1:45" ht="18" customHeight="1" x14ac:dyDescent="0.25">
      <c r="A21" s="2"/>
      <c r="B21" s="20"/>
      <c r="C21" s="11"/>
      <c r="D21" s="11"/>
      <c r="E21" s="11"/>
      <c r="F21" s="11"/>
      <c r="G21" s="11"/>
      <c r="H21" s="11"/>
      <c r="I21" s="11"/>
      <c r="J21" s="12"/>
      <c r="K21" s="3"/>
      <c r="L21" s="3"/>
      <c r="M21" s="11"/>
      <c r="O21" s="9"/>
      <c r="P21" s="9"/>
      <c r="Q21" s="67" t="s">
        <v>25</v>
      </c>
      <c r="R21" s="58"/>
      <c r="S21" s="58"/>
      <c r="T21" s="58"/>
      <c r="U21" s="59"/>
      <c r="V21" s="96"/>
      <c r="W21" s="58"/>
      <c r="X21" s="58"/>
      <c r="Y21" s="58"/>
      <c r="Z21" s="58"/>
      <c r="AA21" s="58"/>
      <c r="AB21" s="58"/>
      <c r="AC21" s="58"/>
      <c r="AD21" s="58"/>
      <c r="AE21" s="58"/>
      <c r="AF21" s="59"/>
      <c r="AG21" s="28" t="str">
        <f t="shared" si="0"/>
        <v/>
      </c>
      <c r="AH21" s="29" t="str">
        <f t="shared" si="1"/>
        <v/>
      </c>
      <c r="AI21" s="30" t="str">
        <f t="shared" si="2"/>
        <v/>
      </c>
      <c r="AJ21" s="31" t="str">
        <f t="shared" si="3"/>
        <v/>
      </c>
      <c r="AK21" s="32" t="str">
        <f t="shared" si="4"/>
        <v/>
      </c>
      <c r="AL21" s="32" t="str">
        <f t="shared" si="5"/>
        <v/>
      </c>
      <c r="AM21" s="32" t="str">
        <f t="shared" si="6"/>
        <v/>
      </c>
      <c r="AN21" s="30" t="str">
        <f t="shared" si="7"/>
        <v/>
      </c>
      <c r="AO21" s="29" t="str">
        <f t="shared" si="8"/>
        <v/>
      </c>
      <c r="AP21" s="29" t="str">
        <f t="shared" si="9"/>
        <v/>
      </c>
      <c r="AQ21" s="33" t="s">
        <v>26</v>
      </c>
      <c r="AR21" s="9"/>
      <c r="AS21" s="10"/>
    </row>
    <row r="22" spans="1:45" ht="18" customHeight="1" x14ac:dyDescent="0.25">
      <c r="A22" s="2"/>
      <c r="B22" s="20"/>
      <c r="C22" s="2"/>
      <c r="D22" s="2"/>
      <c r="E22" s="2"/>
      <c r="F22" s="2"/>
      <c r="G22" s="2"/>
      <c r="H22" s="2"/>
      <c r="I22" s="2"/>
      <c r="J22" s="12"/>
      <c r="K22" s="3"/>
      <c r="L22" s="3"/>
      <c r="M22" s="11"/>
      <c r="O22" s="9"/>
      <c r="P22" s="9"/>
      <c r="Q22" s="63"/>
      <c r="R22" s="64"/>
      <c r="S22" s="64"/>
      <c r="T22" s="64"/>
      <c r="U22" s="65"/>
      <c r="V22" s="94"/>
      <c r="W22" s="61"/>
      <c r="X22" s="61"/>
      <c r="Y22" s="61"/>
      <c r="Z22" s="61"/>
      <c r="AA22" s="61"/>
      <c r="AB22" s="61"/>
      <c r="AC22" s="61"/>
      <c r="AD22" s="61"/>
      <c r="AE22" s="61"/>
      <c r="AF22" s="62"/>
      <c r="AG22" s="28" t="str">
        <f t="shared" si="0"/>
        <v/>
      </c>
      <c r="AH22" s="29" t="str">
        <f t="shared" si="1"/>
        <v/>
      </c>
      <c r="AI22" s="30" t="str">
        <f t="shared" si="2"/>
        <v/>
      </c>
      <c r="AJ22" s="31" t="str">
        <f t="shared" si="3"/>
        <v/>
      </c>
      <c r="AK22" s="32" t="str">
        <f t="shared" si="4"/>
        <v/>
      </c>
      <c r="AL22" s="32" t="str">
        <f t="shared" si="5"/>
        <v/>
      </c>
      <c r="AM22" s="32" t="str">
        <f t="shared" si="6"/>
        <v/>
      </c>
      <c r="AN22" s="30" t="str">
        <f t="shared" si="7"/>
        <v/>
      </c>
      <c r="AO22" s="29" t="str">
        <f t="shared" si="8"/>
        <v/>
      </c>
      <c r="AP22" s="29" t="str">
        <f t="shared" si="9"/>
        <v/>
      </c>
      <c r="AQ22" s="33" t="s">
        <v>27</v>
      </c>
      <c r="AR22" s="9"/>
      <c r="AS22" s="10"/>
    </row>
    <row r="23" spans="1:45" ht="18" customHeight="1" x14ac:dyDescent="0.25">
      <c r="A23" s="2"/>
      <c r="B23" s="2"/>
      <c r="C23" s="12"/>
      <c r="D23" s="20"/>
      <c r="E23" s="2"/>
      <c r="F23" s="2"/>
      <c r="G23" s="2"/>
      <c r="H23" s="2"/>
      <c r="I23" s="2"/>
      <c r="J23" s="2"/>
      <c r="K23" s="2"/>
      <c r="L23" s="2"/>
      <c r="M23" s="2"/>
      <c r="N23" s="3"/>
      <c r="O23" s="9"/>
      <c r="P23" s="9"/>
      <c r="Q23" s="63"/>
      <c r="R23" s="64"/>
      <c r="S23" s="64"/>
      <c r="T23" s="64"/>
      <c r="U23" s="65"/>
      <c r="V23" s="97"/>
      <c r="W23" s="58"/>
      <c r="X23" s="58"/>
      <c r="Y23" s="58"/>
      <c r="Z23" s="58"/>
      <c r="AA23" s="58"/>
      <c r="AB23" s="58"/>
      <c r="AC23" s="58"/>
      <c r="AD23" s="58"/>
      <c r="AE23" s="58"/>
      <c r="AF23" s="59"/>
      <c r="AG23" s="28" t="str">
        <f t="shared" si="0"/>
        <v/>
      </c>
      <c r="AH23" s="29" t="str">
        <f t="shared" si="1"/>
        <v/>
      </c>
      <c r="AI23" s="30" t="str">
        <f t="shared" si="2"/>
        <v/>
      </c>
      <c r="AJ23" s="31" t="str">
        <f t="shared" si="3"/>
        <v/>
      </c>
      <c r="AK23" s="32" t="str">
        <f t="shared" si="4"/>
        <v/>
      </c>
      <c r="AL23" s="32" t="str">
        <f t="shared" si="5"/>
        <v/>
      </c>
      <c r="AM23" s="32" t="str">
        <f t="shared" si="6"/>
        <v/>
      </c>
      <c r="AN23" s="30" t="str">
        <f t="shared" si="7"/>
        <v/>
      </c>
      <c r="AO23" s="29" t="str">
        <f t="shared" si="8"/>
        <v/>
      </c>
      <c r="AP23" s="29" t="str">
        <f t="shared" si="9"/>
        <v/>
      </c>
      <c r="AQ23" s="33" t="s">
        <v>28</v>
      </c>
      <c r="AR23" s="9"/>
      <c r="AS23" s="10"/>
    </row>
    <row r="24" spans="1:45" ht="18" customHeight="1" x14ac:dyDescent="0.25">
      <c r="A24" s="2"/>
      <c r="L24" s="11"/>
      <c r="M24" s="11"/>
      <c r="O24" s="9"/>
      <c r="P24" s="9"/>
      <c r="Q24" s="63"/>
      <c r="R24" s="64"/>
      <c r="S24" s="64"/>
      <c r="T24" s="64"/>
      <c r="U24" s="65"/>
      <c r="V24" s="94"/>
      <c r="W24" s="61"/>
      <c r="X24" s="61"/>
      <c r="Y24" s="61"/>
      <c r="Z24" s="61"/>
      <c r="AA24" s="61"/>
      <c r="AB24" s="61"/>
      <c r="AC24" s="61"/>
      <c r="AD24" s="61"/>
      <c r="AE24" s="61"/>
      <c r="AF24" s="62"/>
      <c r="AG24" s="28" t="str">
        <f t="shared" si="0"/>
        <v/>
      </c>
      <c r="AH24" s="29" t="str">
        <f t="shared" si="1"/>
        <v/>
      </c>
      <c r="AI24" s="30" t="str">
        <f t="shared" si="2"/>
        <v/>
      </c>
      <c r="AJ24" s="31" t="str">
        <f t="shared" si="3"/>
        <v/>
      </c>
      <c r="AK24" s="32" t="str">
        <f t="shared" si="4"/>
        <v/>
      </c>
      <c r="AL24" s="32" t="str">
        <f t="shared" si="5"/>
        <v/>
      </c>
      <c r="AM24" s="32" t="str">
        <f t="shared" si="6"/>
        <v/>
      </c>
      <c r="AN24" s="30" t="str">
        <f t="shared" si="7"/>
        <v/>
      </c>
      <c r="AO24" s="29" t="str">
        <f t="shared" si="8"/>
        <v/>
      </c>
      <c r="AP24" s="29" t="str">
        <f t="shared" si="9"/>
        <v/>
      </c>
      <c r="AQ24" s="33" t="s">
        <v>29</v>
      </c>
      <c r="AR24" s="9"/>
      <c r="AS24" s="10"/>
    </row>
    <row r="25" spans="1:45" ht="18" customHeight="1" x14ac:dyDescent="0.35">
      <c r="A25" s="35"/>
      <c r="B25" s="2"/>
      <c r="C25" s="12"/>
      <c r="D25" s="20"/>
      <c r="E25" s="2"/>
      <c r="F25" s="2"/>
      <c r="G25" s="2"/>
      <c r="H25" s="2"/>
      <c r="I25" s="2"/>
      <c r="J25" s="2"/>
      <c r="K25" s="2"/>
      <c r="L25" s="2"/>
      <c r="M25" s="2"/>
      <c r="N25" s="3"/>
      <c r="O25" s="36"/>
      <c r="P25" s="36"/>
      <c r="Q25" s="63"/>
      <c r="R25" s="64"/>
      <c r="S25" s="64"/>
      <c r="T25" s="64"/>
      <c r="U25" s="65"/>
      <c r="V25" s="97"/>
      <c r="W25" s="58"/>
      <c r="X25" s="58"/>
      <c r="Y25" s="58"/>
      <c r="Z25" s="58"/>
      <c r="AA25" s="58"/>
      <c r="AB25" s="58"/>
      <c r="AC25" s="58"/>
      <c r="AD25" s="58"/>
      <c r="AE25" s="58"/>
      <c r="AF25" s="59"/>
      <c r="AG25" s="28" t="str">
        <f t="shared" si="0"/>
        <v/>
      </c>
      <c r="AH25" s="29" t="str">
        <f t="shared" si="1"/>
        <v/>
      </c>
      <c r="AI25" s="30" t="str">
        <f t="shared" si="2"/>
        <v/>
      </c>
      <c r="AJ25" s="31" t="str">
        <f t="shared" si="3"/>
        <v/>
      </c>
      <c r="AK25" s="32" t="str">
        <f t="shared" si="4"/>
        <v/>
      </c>
      <c r="AL25" s="32" t="str">
        <f t="shared" si="5"/>
        <v/>
      </c>
      <c r="AM25" s="32" t="str">
        <f t="shared" si="6"/>
        <v/>
      </c>
      <c r="AN25" s="30" t="str">
        <f t="shared" si="7"/>
        <v/>
      </c>
      <c r="AO25" s="29" t="str">
        <f t="shared" si="8"/>
        <v/>
      </c>
      <c r="AP25" s="29" t="str">
        <f t="shared" si="9"/>
        <v/>
      </c>
      <c r="AQ25" s="33" t="s">
        <v>30</v>
      </c>
      <c r="AR25" s="9"/>
      <c r="AS25" s="10"/>
    </row>
    <row r="26" spans="1:45" ht="18" customHeight="1" x14ac:dyDescent="0.35">
      <c r="A26" s="35"/>
      <c r="L26" s="11"/>
      <c r="M26" s="11"/>
      <c r="O26" s="36"/>
      <c r="P26" s="36"/>
      <c r="Q26" s="63"/>
      <c r="R26" s="64"/>
      <c r="S26" s="64"/>
      <c r="T26" s="64"/>
      <c r="U26" s="65"/>
      <c r="V26" s="94"/>
      <c r="W26" s="61"/>
      <c r="X26" s="61"/>
      <c r="Y26" s="61"/>
      <c r="Z26" s="61"/>
      <c r="AA26" s="61"/>
      <c r="AB26" s="61"/>
      <c r="AC26" s="61"/>
      <c r="AD26" s="61"/>
      <c r="AE26" s="61"/>
      <c r="AF26" s="62"/>
      <c r="AG26" s="28" t="str">
        <f t="shared" si="0"/>
        <v/>
      </c>
      <c r="AH26" s="29" t="str">
        <f t="shared" si="1"/>
        <v/>
      </c>
      <c r="AI26" s="30" t="str">
        <f t="shared" si="2"/>
        <v/>
      </c>
      <c r="AJ26" s="31" t="str">
        <f t="shared" si="3"/>
        <v/>
      </c>
      <c r="AK26" s="32" t="str">
        <f t="shared" si="4"/>
        <v/>
      </c>
      <c r="AL26" s="32" t="str">
        <f t="shared" si="5"/>
        <v/>
      </c>
      <c r="AM26" s="32" t="str">
        <f t="shared" si="6"/>
        <v/>
      </c>
      <c r="AN26" s="30" t="str">
        <f t="shared" si="7"/>
        <v/>
      </c>
      <c r="AO26" s="29" t="str">
        <f t="shared" si="8"/>
        <v/>
      </c>
      <c r="AP26" s="29" t="str">
        <f t="shared" si="9"/>
        <v/>
      </c>
      <c r="AQ26" s="33" t="s">
        <v>31</v>
      </c>
      <c r="AR26" s="9"/>
      <c r="AS26" s="10"/>
    </row>
    <row r="27" spans="1:45" ht="18" customHeight="1" x14ac:dyDescent="0.35">
      <c r="A27" s="35"/>
      <c r="L27" s="11"/>
      <c r="M27" s="11"/>
      <c r="O27" s="36"/>
      <c r="P27" s="36"/>
      <c r="Q27" s="63"/>
      <c r="R27" s="64"/>
      <c r="S27" s="64"/>
      <c r="T27" s="64"/>
      <c r="U27" s="65"/>
      <c r="V27" s="97"/>
      <c r="W27" s="58"/>
      <c r="X27" s="58"/>
      <c r="Y27" s="58"/>
      <c r="Z27" s="58"/>
      <c r="AA27" s="58"/>
      <c r="AB27" s="58"/>
      <c r="AC27" s="58"/>
      <c r="AD27" s="58"/>
      <c r="AE27" s="58"/>
      <c r="AF27" s="59"/>
      <c r="AG27" s="28" t="str">
        <f t="shared" si="0"/>
        <v/>
      </c>
      <c r="AH27" s="29" t="str">
        <f t="shared" si="1"/>
        <v/>
      </c>
      <c r="AI27" s="30" t="str">
        <f t="shared" si="2"/>
        <v/>
      </c>
      <c r="AJ27" s="31" t="str">
        <f t="shared" si="3"/>
        <v/>
      </c>
      <c r="AK27" s="32" t="str">
        <f t="shared" si="4"/>
        <v/>
      </c>
      <c r="AL27" s="32" t="str">
        <f t="shared" si="5"/>
        <v/>
      </c>
      <c r="AM27" s="32" t="str">
        <f t="shared" si="6"/>
        <v/>
      </c>
      <c r="AN27" s="30" t="str">
        <f t="shared" si="7"/>
        <v/>
      </c>
      <c r="AO27" s="29" t="str">
        <f t="shared" si="8"/>
        <v/>
      </c>
      <c r="AP27" s="29" t="str">
        <f t="shared" si="9"/>
        <v/>
      </c>
      <c r="AQ27" s="33" t="s">
        <v>32</v>
      </c>
      <c r="AR27" s="9"/>
      <c r="AS27" s="10"/>
    </row>
    <row r="28" spans="1:45" ht="18" customHeight="1" x14ac:dyDescent="0.35">
      <c r="A28" s="35"/>
      <c r="L28" s="11"/>
      <c r="M28" s="11"/>
      <c r="O28" s="36"/>
      <c r="P28" s="36"/>
      <c r="Q28" s="60"/>
      <c r="R28" s="61"/>
      <c r="S28" s="61"/>
      <c r="T28" s="61"/>
      <c r="U28" s="62"/>
      <c r="V28" s="94"/>
      <c r="W28" s="61"/>
      <c r="X28" s="61"/>
      <c r="Y28" s="61"/>
      <c r="Z28" s="61"/>
      <c r="AA28" s="61"/>
      <c r="AB28" s="61"/>
      <c r="AC28" s="61"/>
      <c r="AD28" s="61"/>
      <c r="AE28" s="61"/>
      <c r="AF28" s="62"/>
      <c r="AG28" s="28" t="str">
        <f t="shared" si="0"/>
        <v/>
      </c>
      <c r="AH28" s="29" t="str">
        <f t="shared" si="1"/>
        <v/>
      </c>
      <c r="AI28" s="30" t="str">
        <f t="shared" si="2"/>
        <v/>
      </c>
      <c r="AJ28" s="31" t="str">
        <f t="shared" si="3"/>
        <v/>
      </c>
      <c r="AK28" s="32" t="str">
        <f t="shared" si="4"/>
        <v/>
      </c>
      <c r="AL28" s="32" t="str">
        <f t="shared" si="5"/>
        <v/>
      </c>
      <c r="AM28" s="32" t="str">
        <f t="shared" si="6"/>
        <v/>
      </c>
      <c r="AN28" s="30" t="str">
        <f t="shared" si="7"/>
        <v/>
      </c>
      <c r="AO28" s="29" t="str">
        <f t="shared" si="8"/>
        <v/>
      </c>
      <c r="AP28" s="29" t="str">
        <f t="shared" si="9"/>
        <v/>
      </c>
      <c r="AQ28" s="33" t="s">
        <v>33</v>
      </c>
      <c r="AR28" s="9"/>
      <c r="AS28" s="10"/>
    </row>
    <row r="29" spans="1:45" ht="18" customHeight="1" x14ac:dyDescent="0.35">
      <c r="A29" s="35"/>
      <c r="L29" s="11"/>
      <c r="M29" s="11"/>
      <c r="O29" s="36"/>
      <c r="P29" s="36"/>
      <c r="Q29" s="98" t="s">
        <v>34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99"/>
      <c r="AG29" s="37" t="str">
        <f t="shared" si="0"/>
        <v/>
      </c>
      <c r="AH29" s="37" t="str">
        <f t="shared" si="1"/>
        <v/>
      </c>
      <c r="AI29" s="38" t="str">
        <f t="shared" si="2"/>
        <v/>
      </c>
      <c r="AJ29" s="39" t="str">
        <f t="shared" si="3"/>
        <v/>
      </c>
      <c r="AK29" s="40" t="str">
        <f t="shared" si="4"/>
        <v/>
      </c>
      <c r="AL29" s="40" t="str">
        <f t="shared" si="5"/>
        <v/>
      </c>
      <c r="AM29" s="40" t="str">
        <f t="shared" si="6"/>
        <v/>
      </c>
      <c r="AN29" s="38" t="str">
        <f t="shared" si="7"/>
        <v/>
      </c>
      <c r="AO29" s="37" t="str">
        <f t="shared" si="8"/>
        <v/>
      </c>
      <c r="AP29" s="37" t="str">
        <f t="shared" si="9"/>
        <v/>
      </c>
      <c r="AQ29" s="41" t="s">
        <v>35</v>
      </c>
      <c r="AR29" s="9"/>
      <c r="AS29" s="10"/>
    </row>
    <row r="30" spans="1:45" ht="16.5" x14ac:dyDescent="0.35">
      <c r="A30" s="35"/>
      <c r="L30" s="11"/>
      <c r="M30" s="11"/>
      <c r="O30" s="36"/>
      <c r="P30" s="36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10"/>
    </row>
    <row r="31" spans="1:45" ht="16.5" x14ac:dyDescent="0.3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  <c r="M31" s="44"/>
      <c r="N31" s="43"/>
      <c r="O31" s="45"/>
      <c r="P31" s="4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7"/>
    </row>
    <row r="32" spans="1:45" ht="16.5" x14ac:dyDescent="0.35">
      <c r="A32" s="35"/>
      <c r="L32" s="11"/>
      <c r="M32" s="11"/>
      <c r="O32" s="36"/>
      <c r="P32" s="36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10"/>
    </row>
    <row r="33" spans="1:45" ht="13" x14ac:dyDescent="0.2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48"/>
      <c r="M33" s="48"/>
      <c r="N33" s="4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10"/>
    </row>
    <row r="34" spans="1:45" ht="13" x14ac:dyDescent="0.25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48"/>
      <c r="M34" s="48"/>
      <c r="N34" s="4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10"/>
    </row>
    <row r="35" spans="1:45" ht="13" x14ac:dyDescent="0.2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48"/>
      <c r="M35" s="48"/>
      <c r="N35" s="4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10"/>
    </row>
    <row r="36" spans="1:45" ht="13" x14ac:dyDescent="0.25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48"/>
      <c r="M36" s="48"/>
      <c r="N36" s="4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10"/>
    </row>
    <row r="37" spans="1:45" ht="13" x14ac:dyDescent="0.25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48"/>
      <c r="M37" s="48"/>
      <c r="N37" s="4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10"/>
    </row>
    <row r="38" spans="1:45" ht="157.5" customHeight="1" x14ac:dyDescent="0.25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48"/>
      <c r="M38" s="48"/>
      <c r="N38" s="4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10"/>
    </row>
    <row r="39" spans="1:45" ht="13" x14ac:dyDescent="0.25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48"/>
      <c r="M39" s="48"/>
      <c r="N39" s="4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10"/>
    </row>
    <row r="40" spans="1:45" ht="13" x14ac:dyDescent="0.25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48"/>
      <c r="M40" s="48"/>
      <c r="N40" s="4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10"/>
    </row>
    <row r="41" spans="1:45" ht="52.5" customHeight="1" x14ac:dyDescent="0.25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48"/>
      <c r="M41" s="48"/>
      <c r="N41" s="4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10"/>
    </row>
    <row r="42" spans="1:45" ht="52.5" customHeight="1" x14ac:dyDescent="0.25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48"/>
      <c r="M42" s="48"/>
      <c r="N42" s="4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10"/>
    </row>
    <row r="43" spans="1:45" ht="52.5" customHeight="1" x14ac:dyDescent="0.25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48"/>
      <c r="M43" s="48"/>
      <c r="N43" s="4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0"/>
    </row>
    <row r="44" spans="1:45" ht="52.5" customHeight="1" x14ac:dyDescent="0.25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48"/>
      <c r="M44" s="48"/>
      <c r="N44" s="4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10"/>
    </row>
    <row r="45" spans="1:45" ht="52.5" customHeight="1" x14ac:dyDescent="0.2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48"/>
      <c r="M45" s="48"/>
      <c r="N45" s="4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10"/>
    </row>
    <row r="46" spans="1:45" ht="52.5" customHeight="1" x14ac:dyDescent="0.25">
      <c r="A46" s="35"/>
      <c r="B46" s="35"/>
      <c r="C46" s="34"/>
      <c r="D46" s="35"/>
      <c r="E46" s="35"/>
      <c r="F46" s="35"/>
      <c r="G46" s="35"/>
      <c r="H46" s="35"/>
      <c r="I46" s="35"/>
      <c r="J46" s="35"/>
      <c r="K46" s="35"/>
      <c r="L46" s="50"/>
      <c r="M46" s="50"/>
      <c r="N46" s="51"/>
      <c r="O46" s="52"/>
      <c r="P46" s="52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52"/>
      <c r="AS46" s="10"/>
    </row>
    <row r="47" spans="1:45" ht="52.5" customHeight="1" x14ac:dyDescent="0.25">
      <c r="A47" s="35"/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50"/>
      <c r="M47" s="50"/>
      <c r="N47" s="51"/>
      <c r="O47" s="53"/>
      <c r="P47" s="53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53"/>
      <c r="AS47" s="10"/>
    </row>
    <row r="48" spans="1:45" ht="52.5" customHeight="1" x14ac:dyDescent="0.25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48"/>
      <c r="M48" s="48"/>
      <c r="N48" s="4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10"/>
    </row>
    <row r="49" spans="1:45" ht="52.5" customHeight="1" x14ac:dyDescent="0.25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48"/>
      <c r="M49" s="48"/>
      <c r="N49" s="4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10"/>
    </row>
    <row r="50" spans="1:45" ht="52.5" customHeight="1" x14ac:dyDescent="0.25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48"/>
      <c r="M50" s="48"/>
      <c r="N50" s="4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10"/>
    </row>
    <row r="51" spans="1:45" ht="52.5" customHeight="1" x14ac:dyDescent="0.25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48"/>
      <c r="M51" s="48"/>
      <c r="N51" s="4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10"/>
    </row>
    <row r="52" spans="1:45" ht="52.5" customHeight="1" x14ac:dyDescent="0.25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48"/>
      <c r="M52" s="48"/>
      <c r="N52" s="4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10"/>
    </row>
    <row r="53" spans="1:45" ht="52.5" customHeight="1" x14ac:dyDescent="0.25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48"/>
      <c r="M53" s="48"/>
      <c r="N53" s="4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10"/>
    </row>
    <row r="54" spans="1:45" ht="52.5" customHeight="1" x14ac:dyDescent="0.25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48"/>
      <c r="M54" s="48"/>
      <c r="N54" s="4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10"/>
    </row>
    <row r="55" spans="1:45" ht="52.5" customHeight="1" x14ac:dyDescent="0.2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48"/>
      <c r="M55" s="48"/>
      <c r="N55" s="4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10"/>
    </row>
    <row r="56" spans="1:45" ht="52.5" customHeight="1" x14ac:dyDescent="0.25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48"/>
      <c r="M56" s="48"/>
      <c r="N56" s="4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0"/>
    </row>
    <row r="57" spans="1:45" ht="52.5" customHeight="1" x14ac:dyDescent="0.25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48"/>
      <c r="M57" s="48"/>
      <c r="N57" s="4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10"/>
    </row>
    <row r="58" spans="1:45" ht="52.5" customHeight="1" x14ac:dyDescent="0.25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48"/>
      <c r="M58" s="48"/>
      <c r="N58" s="4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10"/>
    </row>
    <row r="59" spans="1:45" ht="52.5" customHeight="1" x14ac:dyDescent="0.25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48"/>
      <c r="M59" s="48"/>
      <c r="N59" s="4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10"/>
    </row>
    <row r="60" spans="1:45" ht="52.5" customHeight="1" x14ac:dyDescent="0.25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48"/>
      <c r="M60" s="48"/>
      <c r="N60" s="4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10"/>
    </row>
    <row r="61" spans="1:45" ht="52.5" customHeight="1" x14ac:dyDescent="0.25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48"/>
      <c r="M61" s="48"/>
      <c r="N61" s="4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10"/>
    </row>
    <row r="62" spans="1:45" ht="52.5" customHeight="1" x14ac:dyDescent="0.25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48"/>
      <c r="M62" s="48"/>
      <c r="N62" s="4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10"/>
    </row>
    <row r="63" spans="1:45" ht="52.5" customHeight="1" x14ac:dyDescent="0.25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48"/>
      <c r="M63" s="48"/>
      <c r="N63" s="4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10"/>
    </row>
    <row r="64" spans="1:45" ht="13" x14ac:dyDescent="0.25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48"/>
      <c r="M64" s="48"/>
      <c r="N64" s="4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10"/>
    </row>
    <row r="65" spans="1:45" ht="13" x14ac:dyDescent="0.2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48"/>
      <c r="M65" s="48"/>
      <c r="N65" s="4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10"/>
    </row>
    <row r="66" spans="1:45" ht="13" x14ac:dyDescent="0.25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48"/>
      <c r="M66" s="48"/>
      <c r="N66" s="4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10"/>
    </row>
    <row r="67" spans="1:45" ht="13" x14ac:dyDescent="0.25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48"/>
      <c r="M67" s="48"/>
      <c r="N67" s="4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10"/>
    </row>
    <row r="68" spans="1:45" ht="13" x14ac:dyDescent="0.25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48"/>
      <c r="M68" s="48"/>
      <c r="N68" s="4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10"/>
    </row>
    <row r="69" spans="1:45" ht="13" x14ac:dyDescent="0.25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48"/>
      <c r="M69" s="48"/>
      <c r="N69" s="4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10"/>
    </row>
    <row r="70" spans="1:45" ht="13" x14ac:dyDescent="0.25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48"/>
      <c r="M70" s="48"/>
      <c r="N70" s="4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10"/>
    </row>
    <row r="71" spans="1:45" ht="13" x14ac:dyDescent="0.25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48"/>
      <c r="M71" s="48"/>
      <c r="N71" s="4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10"/>
    </row>
    <row r="72" spans="1:45" ht="13" x14ac:dyDescent="0.25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48"/>
      <c r="M72" s="48"/>
      <c r="N72" s="4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10"/>
    </row>
    <row r="73" spans="1:45" ht="13" x14ac:dyDescent="0.25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48"/>
      <c r="M73" s="48"/>
      <c r="N73" s="4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10"/>
    </row>
    <row r="74" spans="1:45" ht="13" x14ac:dyDescent="0.25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48"/>
      <c r="M74" s="48"/>
      <c r="N74" s="4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10"/>
    </row>
    <row r="75" spans="1:45" ht="13" x14ac:dyDescent="0.2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48"/>
      <c r="M75" s="48"/>
      <c r="N75" s="4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10"/>
    </row>
    <row r="76" spans="1:45" ht="13" x14ac:dyDescent="0.25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48"/>
      <c r="M76" s="48"/>
      <c r="N76" s="4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10"/>
    </row>
    <row r="77" spans="1:45" ht="13" x14ac:dyDescent="0.25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48"/>
      <c r="M77" s="48"/>
      <c r="N77" s="4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10"/>
    </row>
    <row r="78" spans="1:45" ht="13" x14ac:dyDescent="0.25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48"/>
      <c r="M78" s="48"/>
      <c r="N78" s="4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10"/>
    </row>
    <row r="79" spans="1:45" ht="13" x14ac:dyDescent="0.25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48"/>
      <c r="M79" s="48"/>
      <c r="N79" s="4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10"/>
    </row>
    <row r="80" spans="1:45" ht="13" x14ac:dyDescent="0.25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48"/>
      <c r="M80" s="48"/>
      <c r="N80" s="4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10"/>
    </row>
    <row r="81" spans="1:45" ht="13" x14ac:dyDescent="0.25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48"/>
      <c r="M81" s="48"/>
      <c r="N81" s="4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10"/>
    </row>
    <row r="82" spans="1:45" ht="13" x14ac:dyDescent="0.25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48"/>
      <c r="M82" s="48"/>
      <c r="N82" s="4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10"/>
    </row>
    <row r="83" spans="1:45" ht="13" x14ac:dyDescent="0.25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48"/>
      <c r="M83" s="48"/>
      <c r="N83" s="4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10"/>
    </row>
    <row r="84" spans="1:45" ht="13" x14ac:dyDescent="0.25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48"/>
      <c r="M84" s="48"/>
      <c r="N84" s="4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10"/>
    </row>
    <row r="85" spans="1:45" ht="13" x14ac:dyDescent="0.2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48"/>
      <c r="M85" s="48"/>
      <c r="N85" s="4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10"/>
    </row>
    <row r="86" spans="1:45" ht="13" x14ac:dyDescent="0.25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48"/>
      <c r="M86" s="48"/>
      <c r="N86" s="4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10"/>
    </row>
    <row r="87" spans="1:45" ht="13" x14ac:dyDescent="0.25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48"/>
      <c r="M87" s="48"/>
      <c r="N87" s="4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10"/>
    </row>
    <row r="88" spans="1:45" ht="13" x14ac:dyDescent="0.25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48"/>
      <c r="M88" s="48"/>
      <c r="N88" s="4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10"/>
    </row>
    <row r="89" spans="1:45" ht="13" x14ac:dyDescent="0.25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48"/>
      <c r="M89" s="48"/>
      <c r="N89" s="4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10"/>
    </row>
    <row r="90" spans="1:45" ht="13" x14ac:dyDescent="0.25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48"/>
      <c r="M90" s="48"/>
      <c r="N90" s="4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10"/>
    </row>
    <row r="91" spans="1:45" ht="13" x14ac:dyDescent="0.2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48"/>
      <c r="M91" s="48"/>
      <c r="N91" s="4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10"/>
    </row>
    <row r="92" spans="1:45" ht="13" x14ac:dyDescent="0.2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48"/>
      <c r="M92" s="48"/>
      <c r="N92" s="4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10"/>
    </row>
    <row r="93" spans="1:45" ht="13" x14ac:dyDescent="0.2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48"/>
      <c r="M93" s="48"/>
      <c r="N93" s="4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10"/>
    </row>
    <row r="94" spans="1:45" ht="13" x14ac:dyDescent="0.2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48"/>
      <c r="M94" s="48"/>
      <c r="N94" s="4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10"/>
    </row>
    <row r="95" spans="1:45" ht="13" x14ac:dyDescent="0.2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48"/>
      <c r="M95" s="48"/>
      <c r="N95" s="4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10"/>
    </row>
    <row r="96" spans="1:45" ht="13" x14ac:dyDescent="0.2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48"/>
      <c r="M96" s="48"/>
      <c r="N96" s="4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10"/>
    </row>
    <row r="97" spans="1:45" ht="13" x14ac:dyDescent="0.2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48"/>
      <c r="M97" s="48"/>
      <c r="N97" s="4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10"/>
    </row>
    <row r="98" spans="1:45" ht="13" x14ac:dyDescent="0.2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48"/>
      <c r="M98" s="48"/>
      <c r="N98" s="4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10"/>
    </row>
    <row r="99" spans="1:45" ht="13" x14ac:dyDescent="0.2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48"/>
      <c r="M99" s="48"/>
      <c r="N99" s="4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10"/>
    </row>
    <row r="100" spans="1:45" ht="13" x14ac:dyDescent="0.2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48"/>
      <c r="M100" s="48"/>
      <c r="N100" s="4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10"/>
    </row>
    <row r="101" spans="1:45" ht="13" x14ac:dyDescent="0.2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48"/>
      <c r="M101" s="48"/>
      <c r="N101" s="4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10"/>
    </row>
    <row r="102" spans="1:45" ht="13" x14ac:dyDescent="0.2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48"/>
      <c r="M102" s="48"/>
      <c r="N102" s="4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10"/>
    </row>
    <row r="103" spans="1:45" ht="13" x14ac:dyDescent="0.2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48"/>
      <c r="M103" s="48"/>
      <c r="N103" s="4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10"/>
    </row>
    <row r="104" spans="1:45" ht="13" x14ac:dyDescent="0.2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48"/>
      <c r="M104" s="48"/>
      <c r="N104" s="4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10"/>
    </row>
    <row r="105" spans="1:45" ht="13" x14ac:dyDescent="0.2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48"/>
      <c r="M105" s="48"/>
      <c r="N105" s="4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10"/>
    </row>
    <row r="106" spans="1:45" ht="13" x14ac:dyDescent="0.2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48"/>
      <c r="M106" s="48"/>
      <c r="N106" s="4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10"/>
    </row>
    <row r="107" spans="1:45" ht="13" x14ac:dyDescent="0.2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48"/>
      <c r="M107" s="48"/>
      <c r="N107" s="4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10"/>
    </row>
    <row r="108" spans="1:45" ht="13" x14ac:dyDescent="0.2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48"/>
      <c r="M108" s="48"/>
      <c r="N108" s="4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10"/>
    </row>
    <row r="109" spans="1:45" ht="13" x14ac:dyDescent="0.2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48"/>
      <c r="M109" s="48"/>
      <c r="N109" s="4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10"/>
    </row>
    <row r="110" spans="1:45" ht="13" x14ac:dyDescent="0.2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48"/>
      <c r="M110" s="48"/>
      <c r="N110" s="4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10"/>
    </row>
    <row r="111" spans="1:45" ht="13" x14ac:dyDescent="0.2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48"/>
      <c r="M111" s="48"/>
      <c r="N111" s="4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10"/>
    </row>
    <row r="112" spans="1:45" ht="13" x14ac:dyDescent="0.2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48"/>
      <c r="M112" s="48"/>
      <c r="N112" s="4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10"/>
    </row>
    <row r="113" spans="1:45" ht="13" x14ac:dyDescent="0.2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48"/>
      <c r="M113" s="48"/>
      <c r="N113" s="4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10"/>
    </row>
    <row r="114" spans="1:45" ht="13" x14ac:dyDescent="0.2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48"/>
      <c r="M114" s="48"/>
      <c r="N114" s="4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10"/>
    </row>
    <row r="115" spans="1:45" ht="13" x14ac:dyDescent="0.2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48"/>
      <c r="M115" s="48"/>
      <c r="N115" s="4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10"/>
    </row>
    <row r="116" spans="1:45" ht="13" x14ac:dyDescent="0.2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48"/>
      <c r="M116" s="48"/>
      <c r="N116" s="4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10"/>
    </row>
    <row r="117" spans="1:45" ht="13" x14ac:dyDescent="0.2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48"/>
      <c r="M117" s="48"/>
      <c r="N117" s="4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10"/>
    </row>
    <row r="118" spans="1:45" ht="13" x14ac:dyDescent="0.2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48"/>
      <c r="M118" s="48"/>
      <c r="N118" s="4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10"/>
    </row>
    <row r="119" spans="1:45" ht="13" x14ac:dyDescent="0.2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48"/>
      <c r="M119" s="48"/>
      <c r="N119" s="4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10"/>
    </row>
    <row r="120" spans="1:45" ht="13" x14ac:dyDescent="0.2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48"/>
      <c r="M120" s="48"/>
      <c r="N120" s="4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10"/>
    </row>
    <row r="121" spans="1:45" ht="13" x14ac:dyDescent="0.2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48"/>
      <c r="M121" s="48"/>
      <c r="N121" s="4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10"/>
    </row>
    <row r="122" spans="1:45" ht="13" x14ac:dyDescent="0.2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48"/>
      <c r="M122" s="48"/>
      <c r="N122" s="4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10"/>
    </row>
    <row r="123" spans="1:45" ht="13" x14ac:dyDescent="0.2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48"/>
      <c r="M123" s="48"/>
      <c r="N123" s="4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10"/>
    </row>
    <row r="124" spans="1:45" ht="13" x14ac:dyDescent="0.2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48"/>
      <c r="M124" s="48"/>
      <c r="N124" s="4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10"/>
    </row>
    <row r="125" spans="1:45" ht="13" x14ac:dyDescent="0.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48"/>
      <c r="M125" s="48"/>
      <c r="N125" s="4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10"/>
    </row>
    <row r="126" spans="1:45" ht="13" x14ac:dyDescent="0.2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48"/>
      <c r="M126" s="48"/>
      <c r="N126" s="4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10"/>
    </row>
    <row r="127" spans="1:45" ht="13" x14ac:dyDescent="0.2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48"/>
      <c r="M127" s="48"/>
      <c r="N127" s="4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10"/>
    </row>
    <row r="128" spans="1:45" ht="13" x14ac:dyDescent="0.2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48"/>
      <c r="M128" s="48"/>
      <c r="N128" s="4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10"/>
    </row>
    <row r="129" spans="1:45" ht="13" x14ac:dyDescent="0.2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48"/>
      <c r="M129" s="48"/>
      <c r="N129" s="4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10"/>
    </row>
    <row r="130" spans="1:45" ht="13" x14ac:dyDescent="0.2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48"/>
      <c r="M130" s="48"/>
      <c r="N130" s="4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10"/>
    </row>
    <row r="131" spans="1:45" ht="13" x14ac:dyDescent="0.2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48"/>
      <c r="M131" s="48"/>
      <c r="N131" s="4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10"/>
    </row>
    <row r="132" spans="1:45" ht="13" x14ac:dyDescent="0.2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48"/>
      <c r="M132" s="48"/>
      <c r="N132" s="4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10"/>
    </row>
    <row r="133" spans="1:45" ht="13" x14ac:dyDescent="0.2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48"/>
      <c r="M133" s="48"/>
      <c r="N133" s="4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10"/>
    </row>
    <row r="134" spans="1:45" ht="13" x14ac:dyDescent="0.2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48"/>
      <c r="M134" s="48"/>
      <c r="N134" s="4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10"/>
    </row>
    <row r="135" spans="1:45" ht="13" x14ac:dyDescent="0.2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48"/>
      <c r="M135" s="48"/>
      <c r="N135" s="4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10"/>
    </row>
    <row r="136" spans="1:45" ht="13" x14ac:dyDescent="0.2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48"/>
      <c r="M136" s="48"/>
      <c r="N136" s="4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10"/>
    </row>
    <row r="137" spans="1:45" ht="13" x14ac:dyDescent="0.2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48"/>
      <c r="M137" s="48"/>
      <c r="N137" s="4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10"/>
    </row>
    <row r="138" spans="1:45" ht="13" x14ac:dyDescent="0.2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48"/>
      <c r="M138" s="48"/>
      <c r="N138" s="4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10"/>
    </row>
    <row r="139" spans="1:45" ht="13" x14ac:dyDescent="0.2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48"/>
      <c r="M139" s="48"/>
      <c r="N139" s="4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10"/>
    </row>
    <row r="140" spans="1:45" ht="13" x14ac:dyDescent="0.2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48"/>
      <c r="M140" s="48"/>
      <c r="N140" s="4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10"/>
    </row>
    <row r="141" spans="1:45" ht="13" x14ac:dyDescent="0.2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48"/>
      <c r="M141" s="48"/>
      <c r="N141" s="4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10"/>
    </row>
    <row r="142" spans="1:45" ht="13" x14ac:dyDescent="0.2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48"/>
      <c r="M142" s="48"/>
      <c r="N142" s="4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10"/>
    </row>
    <row r="143" spans="1:45" ht="13" x14ac:dyDescent="0.2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48"/>
      <c r="M143" s="48"/>
      <c r="N143" s="4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10"/>
    </row>
    <row r="144" spans="1:45" ht="13" x14ac:dyDescent="0.2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48"/>
      <c r="M144" s="48"/>
      <c r="N144" s="4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10"/>
    </row>
    <row r="145" spans="1:45" ht="13" x14ac:dyDescent="0.2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48"/>
      <c r="M145" s="48"/>
      <c r="N145" s="4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10"/>
    </row>
    <row r="146" spans="1:45" ht="13" x14ac:dyDescent="0.2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48"/>
      <c r="M146" s="48"/>
      <c r="N146" s="4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10"/>
    </row>
    <row r="147" spans="1:45" ht="13" x14ac:dyDescent="0.2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48"/>
      <c r="M147" s="48"/>
      <c r="N147" s="4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10"/>
    </row>
    <row r="148" spans="1:45" ht="13" x14ac:dyDescent="0.2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48"/>
      <c r="M148" s="48"/>
      <c r="N148" s="4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10"/>
    </row>
    <row r="149" spans="1:45" ht="13" x14ac:dyDescent="0.2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48"/>
      <c r="M149" s="48"/>
      <c r="N149" s="4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10"/>
    </row>
    <row r="150" spans="1:45" ht="13" x14ac:dyDescent="0.2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48"/>
      <c r="M150" s="48"/>
      <c r="N150" s="4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10"/>
    </row>
    <row r="151" spans="1:45" ht="13" x14ac:dyDescent="0.2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48"/>
      <c r="M151" s="48"/>
      <c r="N151" s="4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10"/>
    </row>
    <row r="152" spans="1:45" ht="13" x14ac:dyDescent="0.2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48"/>
      <c r="M152" s="48"/>
      <c r="N152" s="4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10"/>
    </row>
    <row r="153" spans="1:45" ht="13" x14ac:dyDescent="0.2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48"/>
      <c r="M153" s="48"/>
      <c r="N153" s="4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10"/>
    </row>
    <row r="154" spans="1:45" ht="13" x14ac:dyDescent="0.2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48"/>
      <c r="M154" s="48"/>
      <c r="N154" s="4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10"/>
    </row>
    <row r="155" spans="1:45" ht="13" x14ac:dyDescent="0.2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48"/>
      <c r="M155" s="48"/>
      <c r="N155" s="4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10"/>
    </row>
    <row r="156" spans="1:45" ht="13" x14ac:dyDescent="0.2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48"/>
      <c r="M156" s="48"/>
      <c r="N156" s="4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10"/>
    </row>
    <row r="157" spans="1:45" ht="13" x14ac:dyDescent="0.2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48"/>
      <c r="M157" s="48"/>
      <c r="N157" s="4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10"/>
    </row>
    <row r="158" spans="1:45" ht="13" x14ac:dyDescent="0.2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48"/>
      <c r="M158" s="48"/>
      <c r="N158" s="4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10"/>
    </row>
    <row r="159" spans="1:45" ht="13" x14ac:dyDescent="0.2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48"/>
      <c r="M159" s="48"/>
      <c r="N159" s="4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10"/>
    </row>
    <row r="160" spans="1:45" ht="13" x14ac:dyDescent="0.2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48"/>
      <c r="M160" s="48"/>
      <c r="N160" s="4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10"/>
    </row>
    <row r="161" spans="1:45" ht="13" x14ac:dyDescent="0.2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48"/>
      <c r="M161" s="48"/>
      <c r="N161" s="4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10"/>
    </row>
    <row r="162" spans="1:45" ht="13" x14ac:dyDescent="0.2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48"/>
      <c r="M162" s="48"/>
      <c r="N162" s="4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10"/>
    </row>
    <row r="163" spans="1:45" ht="13" x14ac:dyDescent="0.2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48"/>
      <c r="M163" s="48"/>
      <c r="N163" s="4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10"/>
    </row>
    <row r="164" spans="1:45" ht="13" x14ac:dyDescent="0.2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48"/>
      <c r="M164" s="48"/>
      <c r="N164" s="4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10"/>
    </row>
    <row r="165" spans="1:45" ht="13" x14ac:dyDescent="0.2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48"/>
      <c r="M165" s="48"/>
      <c r="N165" s="4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10"/>
    </row>
    <row r="166" spans="1:45" ht="13" x14ac:dyDescent="0.2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48"/>
      <c r="M166" s="48"/>
      <c r="N166" s="4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10"/>
    </row>
    <row r="167" spans="1:45" ht="13" x14ac:dyDescent="0.2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48"/>
      <c r="M167" s="48"/>
      <c r="N167" s="4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10"/>
    </row>
    <row r="168" spans="1:45" ht="13" x14ac:dyDescent="0.2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48"/>
      <c r="M168" s="48"/>
      <c r="N168" s="4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10"/>
    </row>
    <row r="169" spans="1:45" ht="13" x14ac:dyDescent="0.2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48"/>
      <c r="M169" s="48"/>
      <c r="N169" s="4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10"/>
    </row>
    <row r="170" spans="1:45" ht="13" x14ac:dyDescent="0.2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48"/>
      <c r="M170" s="48"/>
      <c r="N170" s="4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10"/>
    </row>
    <row r="171" spans="1:45" ht="13" x14ac:dyDescent="0.2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48"/>
      <c r="M171" s="48"/>
      <c r="N171" s="4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10"/>
    </row>
    <row r="172" spans="1:45" ht="13" x14ac:dyDescent="0.2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48"/>
      <c r="M172" s="48"/>
      <c r="N172" s="4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10"/>
    </row>
    <row r="173" spans="1:45" ht="13" x14ac:dyDescent="0.2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48"/>
      <c r="M173" s="48"/>
      <c r="N173" s="4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10"/>
    </row>
    <row r="174" spans="1:45" ht="13" x14ac:dyDescent="0.2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48"/>
      <c r="M174" s="48"/>
      <c r="N174" s="4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10"/>
    </row>
    <row r="175" spans="1:45" ht="13" x14ac:dyDescent="0.2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48"/>
      <c r="M175" s="48"/>
      <c r="N175" s="4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10"/>
    </row>
    <row r="176" spans="1:45" ht="13" x14ac:dyDescent="0.2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48"/>
      <c r="M176" s="48"/>
      <c r="N176" s="4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10"/>
    </row>
    <row r="177" spans="1:45" ht="13" x14ac:dyDescent="0.2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48"/>
      <c r="M177" s="48"/>
      <c r="N177" s="4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10"/>
    </row>
    <row r="178" spans="1:45" ht="13" x14ac:dyDescent="0.2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48"/>
      <c r="M178" s="48"/>
      <c r="N178" s="4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10"/>
    </row>
    <row r="179" spans="1:45" ht="13" x14ac:dyDescent="0.2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48"/>
      <c r="M179" s="48"/>
      <c r="N179" s="4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10"/>
    </row>
    <row r="180" spans="1:45" ht="13" x14ac:dyDescent="0.2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48"/>
      <c r="M180" s="48"/>
      <c r="N180" s="4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10"/>
    </row>
    <row r="181" spans="1:45" ht="13" x14ac:dyDescent="0.2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48"/>
      <c r="M181" s="48"/>
      <c r="N181" s="4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10"/>
    </row>
    <row r="182" spans="1:45" ht="13" x14ac:dyDescent="0.2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48"/>
      <c r="M182" s="48"/>
      <c r="N182" s="4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10"/>
    </row>
    <row r="183" spans="1:45" ht="13" x14ac:dyDescent="0.2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48"/>
      <c r="M183" s="48"/>
      <c r="N183" s="4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10"/>
    </row>
    <row r="184" spans="1:45" ht="13" x14ac:dyDescent="0.2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48"/>
      <c r="M184" s="48"/>
      <c r="N184" s="4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10"/>
    </row>
    <row r="185" spans="1:45" ht="13" x14ac:dyDescent="0.2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48"/>
      <c r="M185" s="48"/>
      <c r="N185" s="4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10"/>
    </row>
    <row r="186" spans="1:45" ht="13" x14ac:dyDescent="0.2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48"/>
      <c r="M186" s="48"/>
      <c r="N186" s="4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10"/>
    </row>
    <row r="187" spans="1:45" ht="13" x14ac:dyDescent="0.2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48"/>
      <c r="M187" s="48"/>
      <c r="N187" s="4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10"/>
    </row>
    <row r="188" spans="1:45" ht="13" x14ac:dyDescent="0.2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48"/>
      <c r="M188" s="48"/>
      <c r="N188" s="4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10"/>
    </row>
    <row r="189" spans="1:45" ht="13" x14ac:dyDescent="0.2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48"/>
      <c r="M189" s="48"/>
      <c r="N189" s="4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10"/>
    </row>
    <row r="190" spans="1:45" ht="13" x14ac:dyDescent="0.2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48"/>
      <c r="M190" s="48"/>
      <c r="N190" s="4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10"/>
    </row>
    <row r="191" spans="1:45" ht="13" x14ac:dyDescent="0.2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48"/>
      <c r="M191" s="48"/>
      <c r="N191" s="4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10"/>
    </row>
    <row r="192" spans="1:45" ht="13" x14ac:dyDescent="0.2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48"/>
      <c r="M192" s="48"/>
      <c r="N192" s="4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10"/>
    </row>
    <row r="193" spans="1:45" ht="13" x14ac:dyDescent="0.2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48"/>
      <c r="M193" s="48"/>
      <c r="N193" s="4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10"/>
    </row>
    <row r="194" spans="1:45" ht="13" x14ac:dyDescent="0.2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48"/>
      <c r="M194" s="48"/>
      <c r="N194" s="4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10"/>
    </row>
    <row r="195" spans="1:45" ht="13" x14ac:dyDescent="0.2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48"/>
      <c r="M195" s="48"/>
      <c r="N195" s="4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10"/>
    </row>
    <row r="196" spans="1:45" ht="13" x14ac:dyDescent="0.2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48"/>
      <c r="M196" s="48"/>
      <c r="N196" s="4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10"/>
    </row>
    <row r="197" spans="1:45" ht="13" x14ac:dyDescent="0.2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48"/>
      <c r="M197" s="48"/>
      <c r="N197" s="4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10"/>
    </row>
    <row r="198" spans="1:45" ht="13" x14ac:dyDescent="0.2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48"/>
      <c r="M198" s="48"/>
      <c r="N198" s="4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10"/>
    </row>
    <row r="199" spans="1:45" ht="13" x14ac:dyDescent="0.2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48"/>
      <c r="M199" s="48"/>
      <c r="N199" s="4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10"/>
    </row>
    <row r="200" spans="1:45" ht="13" x14ac:dyDescent="0.2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48"/>
      <c r="M200" s="48"/>
      <c r="N200" s="4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10"/>
    </row>
    <row r="201" spans="1:45" ht="13" x14ac:dyDescent="0.2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48"/>
      <c r="M201" s="48"/>
      <c r="N201" s="4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10"/>
    </row>
    <row r="202" spans="1:45" ht="13" x14ac:dyDescent="0.2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48"/>
      <c r="M202" s="48"/>
      <c r="N202" s="4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10"/>
    </row>
    <row r="203" spans="1:45" ht="13" x14ac:dyDescent="0.2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48"/>
      <c r="M203" s="48"/>
      <c r="N203" s="4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10"/>
    </row>
    <row r="204" spans="1:45" ht="13" x14ac:dyDescent="0.2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48"/>
      <c r="M204" s="48"/>
      <c r="N204" s="4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10"/>
    </row>
    <row r="205" spans="1:45" ht="13" x14ac:dyDescent="0.2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48"/>
      <c r="M205" s="48"/>
      <c r="N205" s="4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10"/>
    </row>
    <row r="206" spans="1:45" ht="13" x14ac:dyDescent="0.2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48"/>
      <c r="M206" s="48"/>
      <c r="N206" s="4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10"/>
    </row>
    <row r="207" spans="1:45" ht="13" x14ac:dyDescent="0.2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48"/>
      <c r="M207" s="48"/>
      <c r="N207" s="4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10"/>
    </row>
    <row r="208" spans="1:45" ht="13" x14ac:dyDescent="0.2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48"/>
      <c r="M208" s="48"/>
      <c r="N208" s="4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10"/>
    </row>
    <row r="209" spans="1:45" ht="13" x14ac:dyDescent="0.2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48"/>
      <c r="M209" s="48"/>
      <c r="N209" s="4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10"/>
    </row>
    <row r="210" spans="1:45" ht="13" x14ac:dyDescent="0.2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48"/>
      <c r="M210" s="48"/>
      <c r="N210" s="4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10"/>
    </row>
    <row r="211" spans="1:45" ht="13" x14ac:dyDescent="0.2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48"/>
      <c r="M211" s="48"/>
      <c r="N211" s="4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10"/>
    </row>
    <row r="212" spans="1:45" ht="13" x14ac:dyDescent="0.2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48"/>
      <c r="M212" s="48"/>
      <c r="N212" s="4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10"/>
    </row>
    <row r="213" spans="1:45" ht="13" x14ac:dyDescent="0.2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48"/>
      <c r="M213" s="48"/>
      <c r="N213" s="4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10"/>
    </row>
    <row r="214" spans="1:45" ht="13" x14ac:dyDescent="0.2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48"/>
      <c r="M214" s="48"/>
      <c r="N214" s="4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10"/>
    </row>
    <row r="215" spans="1:45" ht="13" x14ac:dyDescent="0.2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48"/>
      <c r="M215" s="48"/>
      <c r="N215" s="4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10"/>
    </row>
    <row r="216" spans="1:45" ht="13" x14ac:dyDescent="0.2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48"/>
      <c r="M216" s="48"/>
      <c r="N216" s="4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10"/>
    </row>
    <row r="217" spans="1:45" ht="13" x14ac:dyDescent="0.2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48"/>
      <c r="M217" s="48"/>
      <c r="N217" s="4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10"/>
    </row>
    <row r="218" spans="1:45" ht="13" x14ac:dyDescent="0.2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48"/>
      <c r="M218" s="48"/>
      <c r="N218" s="4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10"/>
    </row>
    <row r="219" spans="1:45" ht="13" x14ac:dyDescent="0.2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48"/>
      <c r="M219" s="48"/>
      <c r="N219" s="4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10"/>
    </row>
    <row r="220" spans="1:45" ht="13" x14ac:dyDescent="0.2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48"/>
      <c r="M220" s="48"/>
      <c r="N220" s="4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10"/>
    </row>
    <row r="221" spans="1:45" ht="13" x14ac:dyDescent="0.2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48"/>
      <c r="M221" s="48"/>
      <c r="N221" s="4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10"/>
    </row>
    <row r="222" spans="1:45" ht="13" x14ac:dyDescent="0.2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48"/>
      <c r="M222" s="48"/>
      <c r="N222" s="4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10"/>
    </row>
    <row r="223" spans="1:45" ht="13" x14ac:dyDescent="0.2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48"/>
      <c r="M223" s="48"/>
      <c r="N223" s="4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10"/>
    </row>
    <row r="224" spans="1:45" ht="13" x14ac:dyDescent="0.2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48"/>
      <c r="M224" s="48"/>
      <c r="N224" s="4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10"/>
    </row>
    <row r="225" spans="1:45" ht="13" x14ac:dyDescent="0.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48"/>
      <c r="M225" s="48"/>
      <c r="N225" s="4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10"/>
    </row>
    <row r="226" spans="1:45" ht="13" x14ac:dyDescent="0.2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48"/>
      <c r="M226" s="48"/>
      <c r="N226" s="4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10"/>
    </row>
    <row r="227" spans="1:45" ht="13" x14ac:dyDescent="0.2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48"/>
      <c r="M227" s="48"/>
      <c r="N227" s="4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10"/>
    </row>
    <row r="228" spans="1:45" ht="13" x14ac:dyDescent="0.2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48"/>
      <c r="M228" s="48"/>
      <c r="N228" s="4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10"/>
    </row>
    <row r="229" spans="1:45" ht="13" x14ac:dyDescent="0.2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48"/>
      <c r="M229" s="48"/>
      <c r="N229" s="4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10"/>
    </row>
    <row r="230" spans="1:45" ht="13" x14ac:dyDescent="0.2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48"/>
      <c r="M230" s="48"/>
      <c r="N230" s="4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10"/>
    </row>
    <row r="231" spans="1:45" ht="13" x14ac:dyDescent="0.2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48"/>
      <c r="M231" s="48"/>
      <c r="N231" s="4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10"/>
    </row>
    <row r="232" spans="1:45" ht="13" x14ac:dyDescent="0.2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48"/>
      <c r="M232" s="48"/>
      <c r="N232" s="4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10"/>
    </row>
    <row r="233" spans="1:45" ht="13" x14ac:dyDescent="0.2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48"/>
      <c r="M233" s="48"/>
      <c r="N233" s="4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10"/>
    </row>
    <row r="234" spans="1:45" ht="13" x14ac:dyDescent="0.2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48"/>
      <c r="M234" s="48"/>
      <c r="N234" s="4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10"/>
    </row>
    <row r="235" spans="1:45" ht="13" x14ac:dyDescent="0.2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48"/>
      <c r="M235" s="48"/>
      <c r="N235" s="4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10"/>
    </row>
    <row r="236" spans="1:45" ht="13" x14ac:dyDescent="0.2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48"/>
      <c r="M236" s="48"/>
      <c r="N236" s="4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10"/>
    </row>
    <row r="237" spans="1:45" ht="13" x14ac:dyDescent="0.2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48"/>
      <c r="M237" s="48"/>
      <c r="N237" s="4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10"/>
    </row>
    <row r="238" spans="1:45" ht="13" x14ac:dyDescent="0.2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48"/>
      <c r="M238" s="48"/>
      <c r="N238" s="4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10"/>
    </row>
    <row r="239" spans="1:45" ht="13" x14ac:dyDescent="0.2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48"/>
      <c r="M239" s="48"/>
      <c r="N239" s="4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10"/>
    </row>
    <row r="240" spans="1:45" ht="13" x14ac:dyDescent="0.2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48"/>
      <c r="M240" s="48"/>
      <c r="N240" s="4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10"/>
    </row>
    <row r="241" spans="1:45" ht="13" x14ac:dyDescent="0.2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48"/>
      <c r="M241" s="48"/>
      <c r="N241" s="4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10"/>
    </row>
    <row r="242" spans="1:45" ht="13" x14ac:dyDescent="0.2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48"/>
      <c r="M242" s="48"/>
      <c r="N242" s="4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10"/>
    </row>
    <row r="243" spans="1:45" ht="13" x14ac:dyDescent="0.2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48"/>
      <c r="M243" s="48"/>
      <c r="N243" s="4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10"/>
    </row>
    <row r="244" spans="1:45" ht="13" x14ac:dyDescent="0.2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48"/>
      <c r="M244" s="48"/>
      <c r="N244" s="4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10"/>
    </row>
    <row r="245" spans="1:45" ht="13" x14ac:dyDescent="0.2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48"/>
      <c r="M245" s="48"/>
      <c r="N245" s="4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10"/>
    </row>
    <row r="246" spans="1:45" ht="13" x14ac:dyDescent="0.2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48"/>
      <c r="M246" s="48"/>
      <c r="N246" s="4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10"/>
    </row>
    <row r="247" spans="1:45" ht="13" x14ac:dyDescent="0.2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48"/>
      <c r="M247" s="48"/>
      <c r="N247" s="4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10"/>
    </row>
    <row r="248" spans="1:45" ht="13" x14ac:dyDescent="0.2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48"/>
      <c r="M248" s="48"/>
      <c r="N248" s="4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10"/>
    </row>
    <row r="249" spans="1:45" ht="13" x14ac:dyDescent="0.2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48"/>
      <c r="M249" s="48"/>
      <c r="N249" s="4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10"/>
    </row>
    <row r="250" spans="1:45" ht="13" x14ac:dyDescent="0.2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48"/>
      <c r="M250" s="48"/>
      <c r="N250" s="4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10"/>
    </row>
    <row r="251" spans="1:45" ht="13" x14ac:dyDescent="0.2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48"/>
      <c r="M251" s="48"/>
      <c r="N251" s="4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10"/>
    </row>
    <row r="252" spans="1:45" ht="13" x14ac:dyDescent="0.2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48"/>
      <c r="M252" s="48"/>
      <c r="N252" s="4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10"/>
    </row>
    <row r="253" spans="1:45" ht="13" x14ac:dyDescent="0.2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48"/>
      <c r="M253" s="48"/>
      <c r="N253" s="4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10"/>
    </row>
    <row r="254" spans="1:45" ht="13" x14ac:dyDescent="0.2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48"/>
      <c r="M254" s="48"/>
      <c r="N254" s="4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10"/>
    </row>
    <row r="255" spans="1:45" ht="13" x14ac:dyDescent="0.2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48"/>
      <c r="M255" s="48"/>
      <c r="N255" s="4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10"/>
    </row>
    <row r="256" spans="1:45" ht="13" x14ac:dyDescent="0.2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48"/>
      <c r="M256" s="48"/>
      <c r="N256" s="4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10"/>
    </row>
    <row r="257" spans="1:45" ht="13" x14ac:dyDescent="0.2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48"/>
      <c r="M257" s="48"/>
      <c r="N257" s="4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10"/>
    </row>
    <row r="258" spans="1:45" ht="13" x14ac:dyDescent="0.2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48"/>
      <c r="M258" s="48"/>
      <c r="N258" s="4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10"/>
    </row>
    <row r="259" spans="1:45" ht="13" x14ac:dyDescent="0.2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48"/>
      <c r="M259" s="48"/>
      <c r="N259" s="4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10"/>
    </row>
    <row r="260" spans="1:45" ht="13" x14ac:dyDescent="0.2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48"/>
      <c r="M260" s="48"/>
      <c r="N260" s="4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10"/>
    </row>
    <row r="261" spans="1:45" ht="13" x14ac:dyDescent="0.2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48"/>
      <c r="M261" s="48"/>
      <c r="N261" s="4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10"/>
    </row>
    <row r="262" spans="1:45" ht="13" x14ac:dyDescent="0.2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48"/>
      <c r="M262" s="48"/>
      <c r="N262" s="4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10"/>
    </row>
    <row r="263" spans="1:45" ht="13" x14ac:dyDescent="0.2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48"/>
      <c r="M263" s="48"/>
      <c r="N263" s="4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10"/>
    </row>
    <row r="264" spans="1:45" ht="13" x14ac:dyDescent="0.2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48"/>
      <c r="M264" s="48"/>
      <c r="N264" s="4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10"/>
    </row>
    <row r="265" spans="1:45" ht="13" x14ac:dyDescent="0.2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48"/>
      <c r="M265" s="48"/>
      <c r="N265" s="4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10"/>
    </row>
    <row r="266" spans="1:45" ht="13" x14ac:dyDescent="0.2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48"/>
      <c r="M266" s="48"/>
      <c r="N266" s="4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10"/>
    </row>
    <row r="267" spans="1:45" ht="13" x14ac:dyDescent="0.2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48"/>
      <c r="M267" s="48"/>
      <c r="N267" s="4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10"/>
    </row>
    <row r="268" spans="1:45" ht="13" x14ac:dyDescent="0.2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48"/>
      <c r="M268" s="48"/>
      <c r="N268" s="4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10"/>
    </row>
    <row r="269" spans="1:45" ht="13" x14ac:dyDescent="0.2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48"/>
      <c r="M269" s="48"/>
      <c r="N269" s="4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10"/>
    </row>
    <row r="270" spans="1:45" ht="13" x14ac:dyDescent="0.2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48"/>
      <c r="M270" s="48"/>
      <c r="N270" s="4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10"/>
    </row>
    <row r="271" spans="1:45" ht="13" x14ac:dyDescent="0.2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48"/>
      <c r="M271" s="48"/>
      <c r="N271" s="4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10"/>
    </row>
    <row r="272" spans="1:45" ht="13" x14ac:dyDescent="0.2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48"/>
      <c r="M272" s="48"/>
      <c r="N272" s="4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10"/>
    </row>
    <row r="273" spans="1:45" ht="13" x14ac:dyDescent="0.2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48"/>
      <c r="M273" s="48"/>
      <c r="N273" s="4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10"/>
    </row>
    <row r="274" spans="1:45" ht="13" x14ac:dyDescent="0.2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48"/>
      <c r="M274" s="48"/>
      <c r="N274" s="4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10"/>
    </row>
    <row r="275" spans="1:45" ht="13" x14ac:dyDescent="0.2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48"/>
      <c r="M275" s="48"/>
      <c r="N275" s="4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10"/>
    </row>
    <row r="276" spans="1:45" ht="13" x14ac:dyDescent="0.2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48"/>
      <c r="M276" s="48"/>
      <c r="N276" s="4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10"/>
    </row>
    <row r="277" spans="1:45" ht="13" x14ac:dyDescent="0.2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48"/>
      <c r="M277" s="48"/>
      <c r="N277" s="4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10"/>
    </row>
    <row r="278" spans="1:45" ht="13" x14ac:dyDescent="0.2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48"/>
      <c r="M278" s="48"/>
      <c r="N278" s="4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10"/>
    </row>
    <row r="279" spans="1:45" ht="13" x14ac:dyDescent="0.2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48"/>
      <c r="M279" s="48"/>
      <c r="N279" s="4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10"/>
    </row>
    <row r="280" spans="1:45" ht="13" x14ac:dyDescent="0.2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48"/>
      <c r="M280" s="48"/>
      <c r="N280" s="4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10"/>
    </row>
    <row r="281" spans="1:45" ht="13" x14ac:dyDescent="0.2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48"/>
      <c r="M281" s="48"/>
      <c r="N281" s="4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10"/>
    </row>
    <row r="282" spans="1:45" ht="13" x14ac:dyDescent="0.2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48"/>
      <c r="M282" s="48"/>
      <c r="N282" s="4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10"/>
    </row>
    <row r="283" spans="1:45" ht="13" x14ac:dyDescent="0.2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48"/>
      <c r="M283" s="48"/>
      <c r="N283" s="4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10"/>
    </row>
    <row r="284" spans="1:45" ht="13" x14ac:dyDescent="0.2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48"/>
      <c r="M284" s="48"/>
      <c r="N284" s="4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10"/>
    </row>
    <row r="285" spans="1:45" ht="13" x14ac:dyDescent="0.2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48"/>
      <c r="M285" s="48"/>
      <c r="N285" s="4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10"/>
    </row>
    <row r="286" spans="1:45" ht="13" x14ac:dyDescent="0.2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48"/>
      <c r="M286" s="48"/>
      <c r="N286" s="4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10"/>
    </row>
    <row r="287" spans="1:45" ht="13" x14ac:dyDescent="0.2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48"/>
      <c r="M287" s="48"/>
      <c r="N287" s="4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10"/>
    </row>
    <row r="288" spans="1:45" ht="13" x14ac:dyDescent="0.2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48"/>
      <c r="M288" s="48"/>
      <c r="N288" s="4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10"/>
    </row>
    <row r="289" spans="1:45" ht="13" x14ac:dyDescent="0.2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48"/>
      <c r="M289" s="48"/>
      <c r="N289" s="4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10"/>
    </row>
    <row r="290" spans="1:45" ht="13" x14ac:dyDescent="0.2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48"/>
      <c r="M290" s="48"/>
      <c r="N290" s="4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10"/>
    </row>
    <row r="291" spans="1:45" ht="13" x14ac:dyDescent="0.2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48"/>
      <c r="M291" s="48"/>
      <c r="N291" s="4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10"/>
    </row>
    <row r="292" spans="1:45" ht="13" x14ac:dyDescent="0.2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48"/>
      <c r="M292" s="48"/>
      <c r="N292" s="4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10"/>
    </row>
    <row r="293" spans="1:45" ht="13" x14ac:dyDescent="0.2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48"/>
      <c r="M293" s="48"/>
      <c r="N293" s="4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10"/>
    </row>
    <row r="294" spans="1:45" ht="13" x14ac:dyDescent="0.2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48"/>
      <c r="M294" s="48"/>
      <c r="N294" s="4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10"/>
    </row>
    <row r="295" spans="1:45" ht="13" x14ac:dyDescent="0.2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48"/>
      <c r="M295" s="48"/>
      <c r="N295" s="4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10"/>
    </row>
    <row r="296" spans="1:45" ht="13" x14ac:dyDescent="0.2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48"/>
      <c r="M296" s="48"/>
      <c r="N296" s="4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10"/>
    </row>
    <row r="297" spans="1:45" ht="13" x14ac:dyDescent="0.2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48"/>
      <c r="M297" s="48"/>
      <c r="N297" s="4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10"/>
    </row>
    <row r="298" spans="1:45" ht="13" x14ac:dyDescent="0.2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48"/>
      <c r="M298" s="48"/>
      <c r="N298" s="4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10"/>
    </row>
    <row r="299" spans="1:45" ht="13" x14ac:dyDescent="0.2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48"/>
      <c r="M299" s="48"/>
      <c r="N299" s="4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10"/>
    </row>
    <row r="300" spans="1:45" ht="13" x14ac:dyDescent="0.2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48"/>
      <c r="M300" s="48"/>
      <c r="N300" s="4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10"/>
    </row>
    <row r="301" spans="1:45" ht="13" x14ac:dyDescent="0.2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48"/>
      <c r="M301" s="48"/>
      <c r="N301" s="4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10"/>
    </row>
    <row r="302" spans="1:45" ht="13" x14ac:dyDescent="0.2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48"/>
      <c r="M302" s="48"/>
      <c r="N302" s="4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10"/>
    </row>
    <row r="303" spans="1:45" ht="13" x14ac:dyDescent="0.2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48"/>
      <c r="M303" s="48"/>
      <c r="N303" s="4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10"/>
    </row>
    <row r="304" spans="1:45" ht="13" x14ac:dyDescent="0.2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48"/>
      <c r="M304" s="48"/>
      <c r="N304" s="4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10"/>
    </row>
    <row r="305" spans="1:45" ht="13" x14ac:dyDescent="0.2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48"/>
      <c r="M305" s="48"/>
      <c r="N305" s="4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10"/>
    </row>
    <row r="306" spans="1:45" ht="13" x14ac:dyDescent="0.2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48"/>
      <c r="M306" s="48"/>
      <c r="N306" s="4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10"/>
    </row>
    <row r="307" spans="1:45" ht="13" x14ac:dyDescent="0.2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48"/>
      <c r="M307" s="48"/>
      <c r="N307" s="4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10"/>
    </row>
    <row r="308" spans="1:45" ht="13" x14ac:dyDescent="0.2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48"/>
      <c r="M308" s="48"/>
      <c r="N308" s="4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10"/>
    </row>
    <row r="309" spans="1:45" ht="13" x14ac:dyDescent="0.2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48"/>
      <c r="M309" s="48"/>
      <c r="N309" s="4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10"/>
    </row>
    <row r="310" spans="1:45" ht="13" x14ac:dyDescent="0.2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48"/>
      <c r="M310" s="48"/>
      <c r="N310" s="4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10"/>
    </row>
    <row r="311" spans="1:45" ht="13" x14ac:dyDescent="0.2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48"/>
      <c r="M311" s="48"/>
      <c r="N311" s="4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10"/>
    </row>
    <row r="312" spans="1:45" ht="13" x14ac:dyDescent="0.2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48"/>
      <c r="M312" s="48"/>
      <c r="N312" s="4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10"/>
    </row>
    <row r="313" spans="1:45" ht="13" x14ac:dyDescent="0.2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48"/>
      <c r="M313" s="48"/>
      <c r="N313" s="4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10"/>
    </row>
    <row r="314" spans="1:45" ht="13" x14ac:dyDescent="0.2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48"/>
      <c r="M314" s="48"/>
      <c r="N314" s="4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10"/>
    </row>
    <row r="315" spans="1:45" ht="13" x14ac:dyDescent="0.2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48"/>
      <c r="M315" s="48"/>
      <c r="N315" s="4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10"/>
    </row>
    <row r="316" spans="1:45" ht="13" x14ac:dyDescent="0.2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48"/>
      <c r="M316" s="48"/>
      <c r="N316" s="4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10"/>
    </row>
    <row r="317" spans="1:45" ht="13" x14ac:dyDescent="0.2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48"/>
      <c r="M317" s="48"/>
      <c r="N317" s="4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10"/>
    </row>
    <row r="318" spans="1:45" ht="13" x14ac:dyDescent="0.2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48"/>
      <c r="M318" s="48"/>
      <c r="N318" s="4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10"/>
    </row>
    <row r="319" spans="1:45" ht="13" x14ac:dyDescent="0.2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48"/>
      <c r="M319" s="48"/>
      <c r="N319" s="4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10"/>
    </row>
    <row r="320" spans="1:45" ht="13" x14ac:dyDescent="0.2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48"/>
      <c r="M320" s="48"/>
      <c r="N320" s="4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10"/>
    </row>
    <row r="321" spans="1:45" ht="13" x14ac:dyDescent="0.2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48"/>
      <c r="M321" s="48"/>
      <c r="N321" s="4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10"/>
    </row>
    <row r="322" spans="1:45" ht="13" x14ac:dyDescent="0.2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48"/>
      <c r="M322" s="48"/>
      <c r="N322" s="4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10"/>
    </row>
    <row r="323" spans="1:45" ht="13" x14ac:dyDescent="0.2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48"/>
      <c r="M323" s="48"/>
      <c r="N323" s="4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10"/>
    </row>
    <row r="324" spans="1:45" ht="13" x14ac:dyDescent="0.2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48"/>
      <c r="M324" s="48"/>
      <c r="N324" s="4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10"/>
    </row>
    <row r="325" spans="1:45" ht="13" x14ac:dyDescent="0.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48"/>
      <c r="M325" s="48"/>
      <c r="N325" s="4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10"/>
    </row>
    <row r="326" spans="1:45" ht="13" x14ac:dyDescent="0.2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48"/>
      <c r="M326" s="48"/>
      <c r="N326" s="4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10"/>
    </row>
    <row r="327" spans="1:45" ht="13" x14ac:dyDescent="0.2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48"/>
      <c r="M327" s="48"/>
      <c r="N327" s="4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10"/>
    </row>
    <row r="328" spans="1:45" ht="13" x14ac:dyDescent="0.2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48"/>
      <c r="M328" s="48"/>
      <c r="N328" s="4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10"/>
    </row>
    <row r="329" spans="1:45" ht="13" x14ac:dyDescent="0.2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48"/>
      <c r="M329" s="48"/>
      <c r="N329" s="4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10"/>
    </row>
    <row r="330" spans="1:45" ht="13" x14ac:dyDescent="0.2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48"/>
      <c r="M330" s="48"/>
      <c r="N330" s="4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10"/>
    </row>
    <row r="331" spans="1:45" ht="13" x14ac:dyDescent="0.2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48"/>
      <c r="M331" s="48"/>
      <c r="N331" s="4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10"/>
    </row>
    <row r="332" spans="1:45" ht="13" x14ac:dyDescent="0.2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48"/>
      <c r="M332" s="48"/>
      <c r="N332" s="4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10"/>
    </row>
    <row r="333" spans="1:45" ht="13" x14ac:dyDescent="0.2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48"/>
      <c r="M333" s="48"/>
      <c r="N333" s="4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10"/>
    </row>
    <row r="334" spans="1:45" ht="13" x14ac:dyDescent="0.2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48"/>
      <c r="M334" s="48"/>
      <c r="N334" s="4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10"/>
    </row>
    <row r="335" spans="1:45" ht="13" x14ac:dyDescent="0.2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48"/>
      <c r="M335" s="48"/>
      <c r="N335" s="4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10"/>
    </row>
    <row r="336" spans="1:45" ht="13" x14ac:dyDescent="0.2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48"/>
      <c r="M336" s="48"/>
      <c r="N336" s="4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10"/>
    </row>
    <row r="337" spans="1:45" ht="13" x14ac:dyDescent="0.2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48"/>
      <c r="M337" s="48"/>
      <c r="N337" s="4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10"/>
    </row>
    <row r="338" spans="1:45" ht="13" x14ac:dyDescent="0.2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48"/>
      <c r="M338" s="48"/>
      <c r="N338" s="4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10"/>
    </row>
    <row r="339" spans="1:45" ht="13" x14ac:dyDescent="0.2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48"/>
      <c r="M339" s="48"/>
      <c r="N339" s="4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10"/>
    </row>
    <row r="340" spans="1:45" ht="13" x14ac:dyDescent="0.2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48"/>
      <c r="M340" s="48"/>
      <c r="N340" s="4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10"/>
    </row>
    <row r="341" spans="1:45" ht="13" x14ac:dyDescent="0.2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48"/>
      <c r="M341" s="48"/>
      <c r="N341" s="4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10"/>
    </row>
    <row r="342" spans="1:45" ht="13" x14ac:dyDescent="0.2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48"/>
      <c r="M342" s="48"/>
      <c r="N342" s="4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10"/>
    </row>
    <row r="343" spans="1:45" ht="13" x14ac:dyDescent="0.2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48"/>
      <c r="M343" s="48"/>
      <c r="N343" s="4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10"/>
    </row>
    <row r="344" spans="1:45" ht="13" x14ac:dyDescent="0.2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48"/>
      <c r="M344" s="48"/>
      <c r="N344" s="4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10"/>
    </row>
    <row r="345" spans="1:45" ht="13" x14ac:dyDescent="0.2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48"/>
      <c r="M345" s="48"/>
      <c r="N345" s="4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10"/>
    </row>
    <row r="346" spans="1:45" ht="13" x14ac:dyDescent="0.2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48"/>
      <c r="M346" s="48"/>
      <c r="N346" s="4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10"/>
    </row>
    <row r="347" spans="1:45" ht="13" x14ac:dyDescent="0.2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48"/>
      <c r="M347" s="48"/>
      <c r="N347" s="4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10"/>
    </row>
    <row r="348" spans="1:45" ht="13" x14ac:dyDescent="0.2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48"/>
      <c r="M348" s="48"/>
      <c r="N348" s="4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10"/>
    </row>
    <row r="349" spans="1:45" ht="13" x14ac:dyDescent="0.2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48"/>
      <c r="M349" s="48"/>
      <c r="N349" s="4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10"/>
    </row>
    <row r="350" spans="1:45" ht="13" x14ac:dyDescent="0.2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48"/>
      <c r="M350" s="48"/>
      <c r="N350" s="4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10"/>
    </row>
    <row r="351" spans="1:45" ht="13" x14ac:dyDescent="0.2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48"/>
      <c r="M351" s="48"/>
      <c r="N351" s="4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10"/>
    </row>
    <row r="352" spans="1:45" ht="13" x14ac:dyDescent="0.2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48"/>
      <c r="M352" s="48"/>
      <c r="N352" s="4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10"/>
    </row>
    <row r="353" spans="1:45" ht="13" x14ac:dyDescent="0.2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48"/>
      <c r="M353" s="48"/>
      <c r="N353" s="4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10"/>
    </row>
    <row r="354" spans="1:45" ht="13" x14ac:dyDescent="0.2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48"/>
      <c r="M354" s="48"/>
      <c r="N354" s="4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10"/>
    </row>
    <row r="355" spans="1:45" ht="13" x14ac:dyDescent="0.2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48"/>
      <c r="M355" s="48"/>
      <c r="N355" s="4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10"/>
    </row>
    <row r="356" spans="1:45" ht="13" x14ac:dyDescent="0.2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48"/>
      <c r="M356" s="48"/>
      <c r="N356" s="4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10"/>
    </row>
    <row r="357" spans="1:45" ht="13" x14ac:dyDescent="0.2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48"/>
      <c r="M357" s="48"/>
      <c r="N357" s="4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10"/>
    </row>
    <row r="358" spans="1:45" ht="13" x14ac:dyDescent="0.2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48"/>
      <c r="M358" s="48"/>
      <c r="N358" s="4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10"/>
    </row>
    <row r="359" spans="1:45" ht="13" x14ac:dyDescent="0.2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48"/>
      <c r="M359" s="48"/>
      <c r="N359" s="4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10"/>
    </row>
    <row r="360" spans="1:45" ht="13" x14ac:dyDescent="0.2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48"/>
      <c r="M360" s="48"/>
      <c r="N360" s="4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10"/>
    </row>
    <row r="361" spans="1:45" ht="13" x14ac:dyDescent="0.2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48"/>
      <c r="M361" s="48"/>
      <c r="N361" s="4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10"/>
    </row>
    <row r="362" spans="1:45" ht="13" x14ac:dyDescent="0.2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48"/>
      <c r="M362" s="48"/>
      <c r="N362" s="4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10"/>
    </row>
    <row r="363" spans="1:45" ht="13" x14ac:dyDescent="0.2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48"/>
      <c r="M363" s="48"/>
      <c r="N363" s="4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10"/>
    </row>
    <row r="364" spans="1:45" ht="13" x14ac:dyDescent="0.2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48"/>
      <c r="M364" s="48"/>
      <c r="N364" s="4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10"/>
    </row>
    <row r="365" spans="1:45" ht="13" x14ac:dyDescent="0.2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48"/>
      <c r="M365" s="48"/>
      <c r="N365" s="4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10"/>
    </row>
    <row r="366" spans="1:45" ht="13" x14ac:dyDescent="0.2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48"/>
      <c r="M366" s="48"/>
      <c r="N366" s="4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10"/>
    </row>
    <row r="367" spans="1:45" ht="13" x14ac:dyDescent="0.2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48"/>
      <c r="M367" s="48"/>
      <c r="N367" s="4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10"/>
    </row>
    <row r="368" spans="1:45" ht="13" x14ac:dyDescent="0.2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48"/>
      <c r="M368" s="48"/>
      <c r="N368" s="4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10"/>
    </row>
    <row r="369" spans="1:45" ht="13" x14ac:dyDescent="0.2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48"/>
      <c r="M369" s="48"/>
      <c r="N369" s="4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10"/>
    </row>
    <row r="370" spans="1:45" ht="13" x14ac:dyDescent="0.2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48"/>
      <c r="M370" s="48"/>
      <c r="N370" s="4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10"/>
    </row>
    <row r="371" spans="1:45" ht="13" x14ac:dyDescent="0.2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48"/>
      <c r="M371" s="48"/>
      <c r="N371" s="4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10"/>
    </row>
    <row r="372" spans="1:45" ht="13" x14ac:dyDescent="0.2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48"/>
      <c r="M372" s="48"/>
      <c r="N372" s="4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10"/>
    </row>
    <row r="373" spans="1:45" ht="13" x14ac:dyDescent="0.2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48"/>
      <c r="M373" s="48"/>
      <c r="N373" s="4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10"/>
    </row>
    <row r="374" spans="1:45" ht="13" x14ac:dyDescent="0.2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48"/>
      <c r="M374" s="48"/>
      <c r="N374" s="4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10"/>
    </row>
    <row r="375" spans="1:45" ht="13" x14ac:dyDescent="0.2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48"/>
      <c r="M375" s="48"/>
      <c r="N375" s="4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10"/>
    </row>
    <row r="376" spans="1:45" ht="13" x14ac:dyDescent="0.2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48"/>
      <c r="M376" s="48"/>
      <c r="N376" s="4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10"/>
    </row>
    <row r="377" spans="1:45" ht="13" x14ac:dyDescent="0.2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48"/>
      <c r="M377" s="48"/>
      <c r="N377" s="4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10"/>
    </row>
    <row r="378" spans="1:45" ht="13" x14ac:dyDescent="0.2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48"/>
      <c r="M378" s="48"/>
      <c r="N378" s="4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10"/>
    </row>
    <row r="379" spans="1:45" ht="13" x14ac:dyDescent="0.2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48"/>
      <c r="M379" s="48"/>
      <c r="N379" s="4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10"/>
    </row>
    <row r="380" spans="1:45" ht="13" x14ac:dyDescent="0.2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48"/>
      <c r="M380" s="48"/>
      <c r="N380" s="4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10"/>
    </row>
    <row r="381" spans="1:45" ht="13" x14ac:dyDescent="0.2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48"/>
      <c r="M381" s="48"/>
      <c r="N381" s="4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10"/>
    </row>
    <row r="382" spans="1:45" ht="13" x14ac:dyDescent="0.2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48"/>
      <c r="M382" s="48"/>
      <c r="N382" s="4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10"/>
    </row>
    <row r="383" spans="1:45" ht="13" x14ac:dyDescent="0.2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48"/>
      <c r="M383" s="48"/>
      <c r="N383" s="4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10"/>
    </row>
    <row r="384" spans="1:45" ht="13" x14ac:dyDescent="0.2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48"/>
      <c r="M384" s="48"/>
      <c r="N384" s="4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10"/>
    </row>
    <row r="385" spans="1:45" ht="13" x14ac:dyDescent="0.2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48"/>
      <c r="M385" s="48"/>
      <c r="N385" s="4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10"/>
    </row>
    <row r="386" spans="1:45" ht="13" x14ac:dyDescent="0.2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48"/>
      <c r="M386" s="48"/>
      <c r="N386" s="4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10"/>
    </row>
    <row r="387" spans="1:45" ht="13" x14ac:dyDescent="0.2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48"/>
      <c r="M387" s="48"/>
      <c r="N387" s="4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10"/>
    </row>
    <row r="388" spans="1:45" ht="13" x14ac:dyDescent="0.2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48"/>
      <c r="M388" s="48"/>
      <c r="N388" s="4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10"/>
    </row>
    <row r="389" spans="1:45" ht="13" x14ac:dyDescent="0.2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48"/>
      <c r="M389" s="48"/>
      <c r="N389" s="4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10"/>
    </row>
    <row r="390" spans="1:45" ht="13" x14ac:dyDescent="0.2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48"/>
      <c r="M390" s="48"/>
      <c r="N390" s="4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10"/>
    </row>
    <row r="391" spans="1:45" ht="13" x14ac:dyDescent="0.2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48"/>
      <c r="M391" s="48"/>
      <c r="N391" s="4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10"/>
    </row>
    <row r="392" spans="1:45" ht="13" x14ac:dyDescent="0.2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48"/>
      <c r="M392" s="48"/>
      <c r="N392" s="4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10"/>
    </row>
    <row r="393" spans="1:45" ht="13" x14ac:dyDescent="0.2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48"/>
      <c r="M393" s="48"/>
      <c r="N393" s="4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10"/>
    </row>
    <row r="394" spans="1:45" ht="13" x14ac:dyDescent="0.2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48"/>
      <c r="M394" s="48"/>
      <c r="N394" s="4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10"/>
    </row>
    <row r="395" spans="1:45" ht="13" x14ac:dyDescent="0.2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48"/>
      <c r="M395" s="48"/>
      <c r="N395" s="4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10"/>
    </row>
    <row r="396" spans="1:45" ht="13" x14ac:dyDescent="0.2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48"/>
      <c r="M396" s="48"/>
      <c r="N396" s="4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10"/>
    </row>
    <row r="397" spans="1:45" ht="13" x14ac:dyDescent="0.2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48"/>
      <c r="M397" s="48"/>
      <c r="N397" s="4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10"/>
    </row>
    <row r="398" spans="1:45" ht="13" x14ac:dyDescent="0.2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48"/>
      <c r="M398" s="48"/>
      <c r="N398" s="4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10"/>
    </row>
    <row r="399" spans="1:45" ht="13" x14ac:dyDescent="0.2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48"/>
      <c r="M399" s="48"/>
      <c r="N399" s="4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10"/>
    </row>
    <row r="400" spans="1:45" ht="13" x14ac:dyDescent="0.2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48"/>
      <c r="M400" s="48"/>
      <c r="N400" s="4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10"/>
    </row>
    <row r="401" spans="1:45" ht="13" x14ac:dyDescent="0.2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48"/>
      <c r="M401" s="48"/>
      <c r="N401" s="4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10"/>
    </row>
    <row r="402" spans="1:45" ht="13" x14ac:dyDescent="0.2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48"/>
      <c r="M402" s="48"/>
      <c r="N402" s="4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10"/>
    </row>
    <row r="403" spans="1:45" ht="13" x14ac:dyDescent="0.2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48"/>
      <c r="M403" s="48"/>
      <c r="N403" s="4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10"/>
    </row>
    <row r="404" spans="1:45" ht="13" x14ac:dyDescent="0.2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48"/>
      <c r="M404" s="48"/>
      <c r="N404" s="4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10"/>
    </row>
    <row r="405" spans="1:45" ht="13" x14ac:dyDescent="0.2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48"/>
      <c r="M405" s="48"/>
      <c r="N405" s="4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10"/>
    </row>
    <row r="406" spans="1:45" ht="13" x14ac:dyDescent="0.2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48"/>
      <c r="M406" s="48"/>
      <c r="N406" s="4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10"/>
    </row>
    <row r="407" spans="1:45" ht="13" x14ac:dyDescent="0.2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48"/>
      <c r="M407" s="48"/>
      <c r="N407" s="4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10"/>
    </row>
    <row r="408" spans="1:45" ht="13" x14ac:dyDescent="0.2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48"/>
      <c r="M408" s="48"/>
      <c r="N408" s="4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10"/>
    </row>
    <row r="409" spans="1:45" ht="13" x14ac:dyDescent="0.2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48"/>
      <c r="M409" s="48"/>
      <c r="N409" s="4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10"/>
    </row>
    <row r="410" spans="1:45" ht="13" x14ac:dyDescent="0.2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48"/>
      <c r="M410" s="48"/>
      <c r="N410" s="4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10"/>
    </row>
    <row r="411" spans="1:45" ht="13" x14ac:dyDescent="0.2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48"/>
      <c r="M411" s="48"/>
      <c r="N411" s="4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10"/>
    </row>
    <row r="412" spans="1:45" ht="13" x14ac:dyDescent="0.2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48"/>
      <c r="M412" s="48"/>
      <c r="N412" s="4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10"/>
    </row>
    <row r="413" spans="1:45" ht="13" x14ac:dyDescent="0.2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48"/>
      <c r="M413" s="48"/>
      <c r="N413" s="4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10"/>
    </row>
    <row r="414" spans="1:45" ht="13" x14ac:dyDescent="0.2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48"/>
      <c r="M414" s="48"/>
      <c r="N414" s="4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10"/>
    </row>
    <row r="415" spans="1:45" ht="13" x14ac:dyDescent="0.2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48"/>
      <c r="M415" s="48"/>
      <c r="N415" s="4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10"/>
    </row>
    <row r="416" spans="1:45" ht="13" x14ac:dyDescent="0.2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48"/>
      <c r="M416" s="48"/>
      <c r="N416" s="4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10"/>
    </row>
    <row r="417" spans="1:45" ht="13" x14ac:dyDescent="0.2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48"/>
      <c r="M417" s="48"/>
      <c r="N417" s="4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10"/>
    </row>
    <row r="418" spans="1:45" ht="13" x14ac:dyDescent="0.2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48"/>
      <c r="M418" s="48"/>
      <c r="N418" s="4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10"/>
    </row>
    <row r="419" spans="1:45" ht="13" x14ac:dyDescent="0.2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48"/>
      <c r="M419" s="48"/>
      <c r="N419" s="4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10"/>
    </row>
    <row r="420" spans="1:45" ht="13" x14ac:dyDescent="0.2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48"/>
      <c r="M420" s="48"/>
      <c r="N420" s="4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10"/>
    </row>
    <row r="421" spans="1:45" ht="13" x14ac:dyDescent="0.2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48"/>
      <c r="M421" s="48"/>
      <c r="N421" s="4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10"/>
    </row>
    <row r="422" spans="1:45" ht="13" x14ac:dyDescent="0.2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48"/>
      <c r="M422" s="48"/>
      <c r="N422" s="4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10"/>
    </row>
    <row r="423" spans="1:45" ht="13" x14ac:dyDescent="0.2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48"/>
      <c r="M423" s="48"/>
      <c r="N423" s="4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10"/>
    </row>
    <row r="424" spans="1:45" ht="13" x14ac:dyDescent="0.2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48"/>
      <c r="M424" s="48"/>
      <c r="N424" s="4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10"/>
    </row>
    <row r="425" spans="1:45" ht="13" x14ac:dyDescent="0.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48"/>
      <c r="M425" s="48"/>
      <c r="N425" s="4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10"/>
    </row>
    <row r="426" spans="1:45" ht="13" x14ac:dyDescent="0.2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48"/>
      <c r="M426" s="48"/>
      <c r="N426" s="4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10"/>
    </row>
    <row r="427" spans="1:45" ht="13" x14ac:dyDescent="0.2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48"/>
      <c r="M427" s="48"/>
      <c r="N427" s="4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10"/>
    </row>
    <row r="428" spans="1:45" ht="13" x14ac:dyDescent="0.2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48"/>
      <c r="M428" s="48"/>
      <c r="N428" s="4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10"/>
    </row>
    <row r="429" spans="1:45" ht="13" x14ac:dyDescent="0.2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48"/>
      <c r="M429" s="48"/>
      <c r="N429" s="4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10"/>
    </row>
    <row r="430" spans="1:45" ht="13" x14ac:dyDescent="0.2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48"/>
      <c r="M430" s="48"/>
      <c r="N430" s="4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10"/>
    </row>
    <row r="431" spans="1:45" ht="13" x14ac:dyDescent="0.2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48"/>
      <c r="M431" s="48"/>
      <c r="N431" s="4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10"/>
    </row>
    <row r="432" spans="1:45" ht="13" x14ac:dyDescent="0.2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48"/>
      <c r="M432" s="48"/>
      <c r="N432" s="4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10"/>
    </row>
    <row r="433" spans="1:45" ht="13" x14ac:dyDescent="0.2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48"/>
      <c r="M433" s="48"/>
      <c r="N433" s="4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10"/>
    </row>
    <row r="434" spans="1:45" ht="13" x14ac:dyDescent="0.2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48"/>
      <c r="M434" s="48"/>
      <c r="N434" s="4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10"/>
    </row>
    <row r="435" spans="1:45" ht="13" x14ac:dyDescent="0.2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48"/>
      <c r="M435" s="48"/>
      <c r="N435" s="4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10"/>
    </row>
    <row r="436" spans="1:45" ht="13" x14ac:dyDescent="0.2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48"/>
      <c r="M436" s="48"/>
      <c r="N436" s="4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10"/>
    </row>
    <row r="437" spans="1:45" ht="13" x14ac:dyDescent="0.2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48"/>
      <c r="M437" s="48"/>
      <c r="N437" s="4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10"/>
    </row>
    <row r="438" spans="1:45" ht="13" x14ac:dyDescent="0.2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48"/>
      <c r="M438" s="48"/>
      <c r="N438" s="4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10"/>
    </row>
    <row r="439" spans="1:45" ht="13" x14ac:dyDescent="0.2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48"/>
      <c r="M439" s="48"/>
      <c r="N439" s="4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10"/>
    </row>
    <row r="440" spans="1:45" ht="13" x14ac:dyDescent="0.2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48"/>
      <c r="M440" s="48"/>
      <c r="N440" s="4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10"/>
    </row>
    <row r="441" spans="1:45" ht="13" x14ac:dyDescent="0.2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48"/>
      <c r="M441" s="48"/>
      <c r="N441" s="4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10"/>
    </row>
    <row r="442" spans="1:45" ht="13" x14ac:dyDescent="0.2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48"/>
      <c r="M442" s="48"/>
      <c r="N442" s="4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10"/>
    </row>
    <row r="443" spans="1:45" ht="13" x14ac:dyDescent="0.2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48"/>
      <c r="M443" s="48"/>
      <c r="N443" s="4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10"/>
    </row>
    <row r="444" spans="1:45" ht="13" x14ac:dyDescent="0.2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48"/>
      <c r="M444" s="48"/>
      <c r="N444" s="4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10"/>
    </row>
    <row r="445" spans="1:45" ht="13" x14ac:dyDescent="0.2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48"/>
      <c r="M445" s="48"/>
      <c r="N445" s="4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10"/>
    </row>
    <row r="446" spans="1:45" ht="13" x14ac:dyDescent="0.2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48"/>
      <c r="M446" s="48"/>
      <c r="N446" s="4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10"/>
    </row>
    <row r="447" spans="1:45" ht="13" x14ac:dyDescent="0.2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48"/>
      <c r="M447" s="48"/>
      <c r="N447" s="4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10"/>
    </row>
    <row r="448" spans="1:45" ht="13" x14ac:dyDescent="0.2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48"/>
      <c r="M448" s="48"/>
      <c r="N448" s="4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10"/>
    </row>
    <row r="449" spans="1:45" ht="13" x14ac:dyDescent="0.2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48"/>
      <c r="M449" s="48"/>
      <c r="N449" s="4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10"/>
    </row>
    <row r="450" spans="1:45" ht="13" x14ac:dyDescent="0.2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48"/>
      <c r="M450" s="48"/>
      <c r="N450" s="4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10"/>
    </row>
    <row r="451" spans="1:45" ht="13" x14ac:dyDescent="0.2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48"/>
      <c r="M451" s="48"/>
      <c r="N451" s="4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10"/>
    </row>
    <row r="452" spans="1:45" ht="13" x14ac:dyDescent="0.2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48"/>
      <c r="M452" s="48"/>
      <c r="N452" s="4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10"/>
    </row>
    <row r="453" spans="1:45" ht="13" x14ac:dyDescent="0.2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48"/>
      <c r="M453" s="48"/>
      <c r="N453" s="4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10"/>
    </row>
    <row r="454" spans="1:45" ht="13" x14ac:dyDescent="0.2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48"/>
      <c r="M454" s="48"/>
      <c r="N454" s="4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10"/>
    </row>
    <row r="455" spans="1:45" ht="13" x14ac:dyDescent="0.2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48"/>
      <c r="M455" s="48"/>
      <c r="N455" s="4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10"/>
    </row>
    <row r="456" spans="1:45" ht="13" x14ac:dyDescent="0.2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48"/>
      <c r="M456" s="48"/>
      <c r="N456" s="4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10"/>
    </row>
    <row r="457" spans="1:45" ht="13" x14ac:dyDescent="0.2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48"/>
      <c r="M457" s="48"/>
      <c r="N457" s="4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10"/>
    </row>
    <row r="458" spans="1:45" ht="13" x14ac:dyDescent="0.2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48"/>
      <c r="M458" s="48"/>
      <c r="N458" s="4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10"/>
    </row>
    <row r="459" spans="1:45" ht="13" x14ac:dyDescent="0.2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48"/>
      <c r="M459" s="48"/>
      <c r="N459" s="4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10"/>
    </row>
    <row r="460" spans="1:45" ht="13" x14ac:dyDescent="0.2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48"/>
      <c r="M460" s="48"/>
      <c r="N460" s="4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10"/>
    </row>
    <row r="461" spans="1:45" ht="13" x14ac:dyDescent="0.2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48"/>
      <c r="M461" s="48"/>
      <c r="N461" s="4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10"/>
    </row>
    <row r="462" spans="1:45" ht="13" x14ac:dyDescent="0.2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48"/>
      <c r="M462" s="48"/>
      <c r="N462" s="4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10"/>
    </row>
    <row r="463" spans="1:45" ht="13" x14ac:dyDescent="0.2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48"/>
      <c r="M463" s="48"/>
      <c r="N463" s="4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10"/>
    </row>
    <row r="464" spans="1:45" ht="13" x14ac:dyDescent="0.2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48"/>
      <c r="M464" s="48"/>
      <c r="N464" s="4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10"/>
    </row>
    <row r="465" spans="1:45" ht="13" x14ac:dyDescent="0.2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48"/>
      <c r="M465" s="48"/>
      <c r="N465" s="4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10"/>
    </row>
    <row r="466" spans="1:45" ht="13" x14ac:dyDescent="0.2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48"/>
      <c r="M466" s="48"/>
      <c r="N466" s="4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10"/>
    </row>
    <row r="467" spans="1:45" ht="13" x14ac:dyDescent="0.2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48"/>
      <c r="M467" s="48"/>
      <c r="N467" s="4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10"/>
    </row>
    <row r="468" spans="1:45" ht="13" x14ac:dyDescent="0.2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48"/>
      <c r="M468" s="48"/>
      <c r="N468" s="4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10"/>
    </row>
    <row r="469" spans="1:45" ht="13" x14ac:dyDescent="0.2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48"/>
      <c r="M469" s="48"/>
      <c r="N469" s="4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10"/>
    </row>
    <row r="470" spans="1:45" ht="13" x14ac:dyDescent="0.2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48"/>
      <c r="M470" s="48"/>
      <c r="N470" s="4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10"/>
    </row>
    <row r="471" spans="1:45" ht="13" x14ac:dyDescent="0.2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48"/>
      <c r="M471" s="48"/>
      <c r="N471" s="4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10"/>
    </row>
    <row r="472" spans="1:45" ht="13" x14ac:dyDescent="0.2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48"/>
      <c r="M472" s="48"/>
      <c r="N472" s="4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10"/>
    </row>
    <row r="473" spans="1:45" ht="13" x14ac:dyDescent="0.2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48"/>
      <c r="M473" s="48"/>
      <c r="N473" s="4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10"/>
    </row>
    <row r="474" spans="1:45" ht="13" x14ac:dyDescent="0.2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48"/>
      <c r="M474" s="48"/>
      <c r="N474" s="4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10"/>
    </row>
    <row r="475" spans="1:45" ht="13" x14ac:dyDescent="0.2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48"/>
      <c r="M475" s="48"/>
      <c r="N475" s="4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10"/>
    </row>
    <row r="476" spans="1:45" ht="13" x14ac:dyDescent="0.25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48"/>
      <c r="M476" s="48"/>
      <c r="N476" s="4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10"/>
    </row>
    <row r="477" spans="1:45" ht="13" x14ac:dyDescent="0.25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48"/>
      <c r="M477" s="48"/>
      <c r="N477" s="4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10"/>
    </row>
    <row r="478" spans="1:45" ht="13" x14ac:dyDescent="0.25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48"/>
      <c r="M478" s="48"/>
      <c r="N478" s="4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10"/>
    </row>
    <row r="479" spans="1:45" ht="13" x14ac:dyDescent="0.25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48"/>
      <c r="M479" s="48"/>
      <c r="N479" s="4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10"/>
    </row>
    <row r="480" spans="1:45" ht="13" x14ac:dyDescent="0.25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48"/>
      <c r="M480" s="48"/>
      <c r="N480" s="4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10"/>
    </row>
    <row r="481" spans="1:45" ht="13" x14ac:dyDescent="0.25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48"/>
      <c r="M481" s="48"/>
      <c r="N481" s="4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10"/>
    </row>
    <row r="482" spans="1:45" ht="13" x14ac:dyDescent="0.25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48"/>
      <c r="M482" s="48"/>
      <c r="N482" s="4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10"/>
    </row>
    <row r="483" spans="1:45" ht="13" x14ac:dyDescent="0.25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48"/>
      <c r="M483" s="48"/>
      <c r="N483" s="4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10"/>
    </row>
    <row r="484" spans="1:45" ht="13" x14ac:dyDescent="0.25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48"/>
      <c r="M484" s="48"/>
      <c r="N484" s="4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10"/>
    </row>
    <row r="485" spans="1:45" ht="13" x14ac:dyDescent="0.2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48"/>
      <c r="M485" s="48"/>
      <c r="N485" s="4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10"/>
    </row>
    <row r="486" spans="1:45" ht="13" x14ac:dyDescent="0.25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48"/>
      <c r="M486" s="48"/>
      <c r="N486" s="4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10"/>
    </row>
    <row r="487" spans="1:45" ht="13" x14ac:dyDescent="0.25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48"/>
      <c r="M487" s="48"/>
      <c r="N487" s="4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10"/>
    </row>
    <row r="488" spans="1:45" ht="13" x14ac:dyDescent="0.25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48"/>
      <c r="M488" s="48"/>
      <c r="N488" s="4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10"/>
    </row>
    <row r="489" spans="1:45" ht="13" x14ac:dyDescent="0.25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48"/>
      <c r="M489" s="48"/>
      <c r="N489" s="4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10"/>
    </row>
    <row r="490" spans="1:45" ht="13" x14ac:dyDescent="0.25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48"/>
      <c r="M490" s="48"/>
      <c r="N490" s="4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10"/>
    </row>
    <row r="491" spans="1:45" ht="13" x14ac:dyDescent="0.25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48"/>
      <c r="M491" s="48"/>
      <c r="N491" s="4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10"/>
    </row>
    <row r="492" spans="1:45" ht="13" x14ac:dyDescent="0.25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48"/>
      <c r="M492" s="48"/>
      <c r="N492" s="4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10"/>
    </row>
    <row r="493" spans="1:45" ht="13" x14ac:dyDescent="0.25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48"/>
      <c r="M493" s="48"/>
      <c r="N493" s="4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10"/>
    </row>
    <row r="494" spans="1:45" ht="13" x14ac:dyDescent="0.25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48"/>
      <c r="M494" s="48"/>
      <c r="N494" s="4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10"/>
    </row>
    <row r="495" spans="1:45" ht="13" x14ac:dyDescent="0.2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48"/>
      <c r="M495" s="48"/>
      <c r="N495" s="4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10"/>
    </row>
    <row r="496" spans="1:45" ht="13" x14ac:dyDescent="0.25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48"/>
      <c r="M496" s="48"/>
      <c r="N496" s="4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10"/>
    </row>
    <row r="497" spans="1:45" ht="13" x14ac:dyDescent="0.25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48"/>
      <c r="M497" s="48"/>
      <c r="N497" s="4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10"/>
    </row>
    <row r="498" spans="1:45" ht="13" x14ac:dyDescent="0.25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48"/>
      <c r="M498" s="48"/>
      <c r="N498" s="4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10"/>
    </row>
    <row r="499" spans="1:45" ht="13" x14ac:dyDescent="0.25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48"/>
      <c r="M499" s="48"/>
      <c r="N499" s="4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10"/>
    </row>
    <row r="500" spans="1:45" ht="13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48"/>
      <c r="M500" s="48"/>
      <c r="N500" s="4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10"/>
    </row>
    <row r="501" spans="1:45" ht="13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48"/>
      <c r="M501" s="48"/>
      <c r="N501" s="4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10"/>
    </row>
    <row r="502" spans="1:45" ht="13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48"/>
      <c r="M502" s="48"/>
      <c r="N502" s="4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10"/>
    </row>
    <row r="503" spans="1:45" ht="13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48"/>
      <c r="M503" s="48"/>
      <c r="N503" s="4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10"/>
    </row>
    <row r="504" spans="1:45" ht="13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48"/>
      <c r="M504" s="48"/>
      <c r="N504" s="4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10"/>
    </row>
    <row r="505" spans="1:45" ht="13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48"/>
      <c r="M505" s="48"/>
      <c r="N505" s="4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10"/>
    </row>
    <row r="506" spans="1:45" ht="13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48"/>
      <c r="M506" s="48"/>
      <c r="N506" s="4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10"/>
    </row>
    <row r="507" spans="1:45" ht="13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48"/>
      <c r="M507" s="48"/>
      <c r="N507" s="4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10"/>
    </row>
    <row r="508" spans="1:45" ht="13" x14ac:dyDescent="0.25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48"/>
      <c r="M508" s="48"/>
      <c r="N508" s="4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10"/>
    </row>
    <row r="509" spans="1:45" ht="13" x14ac:dyDescent="0.25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48"/>
      <c r="M509" s="48"/>
      <c r="N509" s="4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10"/>
    </row>
    <row r="510" spans="1:45" ht="13" x14ac:dyDescent="0.25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48"/>
      <c r="M510" s="48"/>
      <c r="N510" s="4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10"/>
    </row>
    <row r="511" spans="1:45" ht="13" x14ac:dyDescent="0.25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48"/>
      <c r="M511" s="48"/>
      <c r="N511" s="4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10"/>
    </row>
    <row r="512" spans="1:45" ht="13" x14ac:dyDescent="0.25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48"/>
      <c r="M512" s="48"/>
      <c r="N512" s="4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10"/>
    </row>
    <row r="513" spans="1:45" ht="13" x14ac:dyDescent="0.25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48"/>
      <c r="M513" s="48"/>
      <c r="N513" s="4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10"/>
    </row>
    <row r="514" spans="1:45" ht="13" x14ac:dyDescent="0.25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48"/>
      <c r="M514" s="48"/>
      <c r="N514" s="4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10"/>
    </row>
    <row r="515" spans="1:45" ht="13" x14ac:dyDescent="0.2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48"/>
      <c r="M515" s="48"/>
      <c r="N515" s="4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10"/>
    </row>
    <row r="516" spans="1:45" ht="13" x14ac:dyDescent="0.25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48"/>
      <c r="M516" s="48"/>
      <c r="N516" s="4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10"/>
    </row>
    <row r="517" spans="1:45" ht="13" x14ac:dyDescent="0.25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48"/>
      <c r="M517" s="48"/>
      <c r="N517" s="4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10"/>
    </row>
    <row r="518" spans="1:45" ht="13" x14ac:dyDescent="0.25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48"/>
      <c r="M518" s="48"/>
      <c r="N518" s="4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10"/>
    </row>
    <row r="519" spans="1:45" ht="13" x14ac:dyDescent="0.25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48"/>
      <c r="M519" s="48"/>
      <c r="N519" s="4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10"/>
    </row>
    <row r="520" spans="1:45" ht="13" x14ac:dyDescent="0.25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48"/>
      <c r="M520" s="48"/>
      <c r="N520" s="4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10"/>
    </row>
    <row r="521" spans="1:45" ht="13" x14ac:dyDescent="0.25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48"/>
      <c r="M521" s="48"/>
      <c r="N521" s="4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10"/>
    </row>
    <row r="522" spans="1:45" ht="13" x14ac:dyDescent="0.25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48"/>
      <c r="M522" s="48"/>
      <c r="N522" s="4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10"/>
    </row>
    <row r="523" spans="1:45" ht="13" x14ac:dyDescent="0.25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48"/>
      <c r="M523" s="48"/>
      <c r="N523" s="4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10"/>
    </row>
    <row r="524" spans="1:45" ht="13" x14ac:dyDescent="0.25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48"/>
      <c r="M524" s="48"/>
      <c r="N524" s="4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10"/>
    </row>
    <row r="525" spans="1:45" ht="13" x14ac:dyDescent="0.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48"/>
      <c r="M525" s="48"/>
      <c r="N525" s="4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10"/>
    </row>
    <row r="526" spans="1:45" ht="13" x14ac:dyDescent="0.25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48"/>
      <c r="M526" s="48"/>
      <c r="N526" s="4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10"/>
    </row>
    <row r="527" spans="1:45" ht="13" x14ac:dyDescent="0.25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48"/>
      <c r="M527" s="48"/>
      <c r="N527" s="4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10"/>
    </row>
    <row r="528" spans="1:45" ht="13" x14ac:dyDescent="0.25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48"/>
      <c r="M528" s="48"/>
      <c r="N528" s="4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10"/>
    </row>
    <row r="529" spans="1:45" ht="13" x14ac:dyDescent="0.25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48"/>
      <c r="M529" s="48"/>
      <c r="N529" s="4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10"/>
    </row>
    <row r="530" spans="1:45" ht="13" x14ac:dyDescent="0.25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48"/>
      <c r="M530" s="48"/>
      <c r="N530" s="4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10"/>
    </row>
    <row r="531" spans="1:45" ht="13" x14ac:dyDescent="0.25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48"/>
      <c r="M531" s="48"/>
      <c r="N531" s="4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10"/>
    </row>
    <row r="532" spans="1:45" ht="13" x14ac:dyDescent="0.25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48"/>
      <c r="M532" s="48"/>
      <c r="N532" s="4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10"/>
    </row>
    <row r="533" spans="1:45" ht="13" x14ac:dyDescent="0.25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48"/>
      <c r="M533" s="48"/>
      <c r="N533" s="4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10"/>
    </row>
    <row r="534" spans="1:45" ht="13" x14ac:dyDescent="0.25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48"/>
      <c r="M534" s="48"/>
      <c r="N534" s="4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10"/>
    </row>
    <row r="535" spans="1:45" ht="13" x14ac:dyDescent="0.2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48"/>
      <c r="M535" s="48"/>
      <c r="N535" s="4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10"/>
    </row>
    <row r="536" spans="1:45" ht="13" x14ac:dyDescent="0.25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48"/>
      <c r="M536" s="48"/>
      <c r="N536" s="4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10"/>
    </row>
    <row r="537" spans="1:45" ht="13" x14ac:dyDescent="0.25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48"/>
      <c r="M537" s="48"/>
      <c r="N537" s="4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10"/>
    </row>
    <row r="538" spans="1:45" ht="13" x14ac:dyDescent="0.25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48"/>
      <c r="M538" s="48"/>
      <c r="N538" s="4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10"/>
    </row>
    <row r="539" spans="1:45" ht="13" x14ac:dyDescent="0.25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48"/>
      <c r="M539" s="48"/>
      <c r="N539" s="4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10"/>
    </row>
    <row r="540" spans="1:45" ht="13" x14ac:dyDescent="0.25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48"/>
      <c r="M540" s="48"/>
      <c r="N540" s="4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10"/>
    </row>
    <row r="541" spans="1:45" ht="13" x14ac:dyDescent="0.25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48"/>
      <c r="M541" s="48"/>
      <c r="N541" s="4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10"/>
    </row>
    <row r="542" spans="1:45" ht="13" x14ac:dyDescent="0.25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48"/>
      <c r="M542" s="48"/>
      <c r="N542" s="4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10"/>
    </row>
    <row r="543" spans="1:45" ht="13" x14ac:dyDescent="0.25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48"/>
      <c r="M543" s="48"/>
      <c r="N543" s="4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10"/>
    </row>
    <row r="544" spans="1:45" ht="13" x14ac:dyDescent="0.25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48"/>
      <c r="M544" s="48"/>
      <c r="N544" s="4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10"/>
    </row>
    <row r="545" spans="1:45" ht="13" x14ac:dyDescent="0.2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48"/>
      <c r="M545" s="48"/>
      <c r="N545" s="4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10"/>
    </row>
    <row r="546" spans="1:45" ht="13" x14ac:dyDescent="0.25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48"/>
      <c r="M546" s="48"/>
      <c r="N546" s="4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10"/>
    </row>
    <row r="547" spans="1:45" ht="13" x14ac:dyDescent="0.25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48"/>
      <c r="M547" s="48"/>
      <c r="N547" s="4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10"/>
    </row>
    <row r="548" spans="1:45" ht="13" x14ac:dyDescent="0.25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48"/>
      <c r="M548" s="48"/>
      <c r="N548" s="4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10"/>
    </row>
    <row r="549" spans="1:45" ht="13" x14ac:dyDescent="0.25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48"/>
      <c r="M549" s="48"/>
      <c r="N549" s="4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10"/>
    </row>
    <row r="550" spans="1:45" ht="13" x14ac:dyDescent="0.25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48"/>
      <c r="M550" s="48"/>
      <c r="N550" s="4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10"/>
    </row>
    <row r="551" spans="1:45" ht="13" x14ac:dyDescent="0.25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48"/>
      <c r="M551" s="48"/>
      <c r="N551" s="4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10"/>
    </row>
    <row r="552" spans="1:45" ht="13" x14ac:dyDescent="0.25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48"/>
      <c r="M552" s="48"/>
      <c r="N552" s="4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10"/>
    </row>
    <row r="553" spans="1:45" ht="13" x14ac:dyDescent="0.25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48"/>
      <c r="M553" s="48"/>
      <c r="N553" s="4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10"/>
    </row>
    <row r="554" spans="1:45" ht="13" x14ac:dyDescent="0.25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48"/>
      <c r="M554" s="48"/>
      <c r="N554" s="4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10"/>
    </row>
    <row r="555" spans="1:45" ht="13" x14ac:dyDescent="0.2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48"/>
      <c r="M555" s="48"/>
      <c r="N555" s="4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10"/>
    </row>
    <row r="556" spans="1:45" ht="13" x14ac:dyDescent="0.25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48"/>
      <c r="M556" s="48"/>
      <c r="N556" s="4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10"/>
    </row>
    <row r="557" spans="1:45" ht="13" x14ac:dyDescent="0.25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48"/>
      <c r="M557" s="48"/>
      <c r="N557" s="4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10"/>
    </row>
    <row r="558" spans="1:45" ht="13" x14ac:dyDescent="0.25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48"/>
      <c r="M558" s="48"/>
      <c r="N558" s="4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10"/>
    </row>
    <row r="559" spans="1:45" ht="13" x14ac:dyDescent="0.25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48"/>
      <c r="M559" s="48"/>
      <c r="N559" s="4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10"/>
    </row>
    <row r="560" spans="1:45" ht="13" x14ac:dyDescent="0.25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48"/>
      <c r="M560" s="48"/>
      <c r="N560" s="4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10"/>
    </row>
    <row r="561" spans="1:45" ht="13" x14ac:dyDescent="0.25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48"/>
      <c r="M561" s="48"/>
      <c r="N561" s="4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10"/>
    </row>
    <row r="562" spans="1:45" ht="13" x14ac:dyDescent="0.25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48"/>
      <c r="M562" s="48"/>
      <c r="N562" s="4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10"/>
    </row>
    <row r="563" spans="1:45" ht="13" x14ac:dyDescent="0.25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48"/>
      <c r="M563" s="48"/>
      <c r="N563" s="4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10"/>
    </row>
    <row r="564" spans="1:45" ht="13" x14ac:dyDescent="0.25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48"/>
      <c r="M564" s="48"/>
      <c r="N564" s="4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10"/>
    </row>
    <row r="565" spans="1:45" ht="13" x14ac:dyDescent="0.2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48"/>
      <c r="M565" s="48"/>
      <c r="N565" s="4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10"/>
    </row>
    <row r="566" spans="1:45" ht="13" x14ac:dyDescent="0.25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48"/>
      <c r="M566" s="48"/>
      <c r="N566" s="4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10"/>
    </row>
    <row r="567" spans="1:45" ht="13" x14ac:dyDescent="0.25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48"/>
      <c r="M567" s="48"/>
      <c r="N567" s="4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10"/>
    </row>
    <row r="568" spans="1:45" ht="13" x14ac:dyDescent="0.25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48"/>
      <c r="M568" s="48"/>
      <c r="N568" s="4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10"/>
    </row>
    <row r="569" spans="1:45" ht="13" x14ac:dyDescent="0.25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48"/>
      <c r="M569" s="48"/>
      <c r="N569" s="4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10"/>
    </row>
    <row r="570" spans="1:45" ht="13" x14ac:dyDescent="0.25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48"/>
      <c r="M570" s="48"/>
      <c r="N570" s="4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10"/>
    </row>
    <row r="571" spans="1:45" ht="13" x14ac:dyDescent="0.25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48"/>
      <c r="M571" s="48"/>
      <c r="N571" s="4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10"/>
    </row>
    <row r="572" spans="1:45" ht="13" x14ac:dyDescent="0.25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48"/>
      <c r="M572" s="48"/>
      <c r="N572" s="4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10"/>
    </row>
    <row r="573" spans="1:45" ht="13" x14ac:dyDescent="0.25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48"/>
      <c r="M573" s="48"/>
      <c r="N573" s="4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10"/>
    </row>
    <row r="574" spans="1:45" ht="13" x14ac:dyDescent="0.25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48"/>
      <c r="M574" s="48"/>
      <c r="N574" s="4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10"/>
    </row>
    <row r="575" spans="1:45" ht="13" x14ac:dyDescent="0.2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48"/>
      <c r="M575" s="48"/>
      <c r="N575" s="4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10"/>
    </row>
    <row r="576" spans="1:45" ht="13" x14ac:dyDescent="0.25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48"/>
      <c r="M576" s="48"/>
      <c r="N576" s="4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10"/>
    </row>
    <row r="577" spans="1:45" ht="13" x14ac:dyDescent="0.25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48"/>
      <c r="M577" s="48"/>
      <c r="N577" s="4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10"/>
    </row>
    <row r="578" spans="1:45" ht="13" x14ac:dyDescent="0.25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48"/>
      <c r="M578" s="48"/>
      <c r="N578" s="4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10"/>
    </row>
    <row r="579" spans="1:45" ht="13" x14ac:dyDescent="0.25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48"/>
      <c r="M579" s="48"/>
      <c r="N579" s="4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10"/>
    </row>
    <row r="580" spans="1:45" ht="13" x14ac:dyDescent="0.25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48"/>
      <c r="M580" s="48"/>
      <c r="N580" s="4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10"/>
    </row>
    <row r="581" spans="1:45" ht="13" x14ac:dyDescent="0.25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48"/>
      <c r="M581" s="48"/>
      <c r="N581" s="4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10"/>
    </row>
    <row r="582" spans="1:45" ht="13" x14ac:dyDescent="0.25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48"/>
      <c r="M582" s="48"/>
      <c r="N582" s="4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10"/>
    </row>
    <row r="583" spans="1:45" ht="13" x14ac:dyDescent="0.25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48"/>
      <c r="M583" s="48"/>
      <c r="N583" s="4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10"/>
    </row>
    <row r="584" spans="1:45" ht="13" x14ac:dyDescent="0.25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48"/>
      <c r="M584" s="48"/>
      <c r="N584" s="4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10"/>
    </row>
    <row r="585" spans="1:45" ht="13" x14ac:dyDescent="0.2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48"/>
      <c r="M585" s="48"/>
      <c r="N585" s="4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10"/>
    </row>
    <row r="586" spans="1:45" ht="13" x14ac:dyDescent="0.25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48"/>
      <c r="M586" s="48"/>
      <c r="N586" s="4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10"/>
    </row>
    <row r="587" spans="1:45" ht="13" x14ac:dyDescent="0.25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48"/>
      <c r="M587" s="48"/>
      <c r="N587" s="4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10"/>
    </row>
    <row r="588" spans="1:45" ht="13" x14ac:dyDescent="0.25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48"/>
      <c r="M588" s="48"/>
      <c r="N588" s="4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10"/>
    </row>
    <row r="589" spans="1:45" ht="13" x14ac:dyDescent="0.25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48"/>
      <c r="M589" s="48"/>
      <c r="N589" s="4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10"/>
    </row>
    <row r="590" spans="1:45" ht="13" x14ac:dyDescent="0.25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48"/>
      <c r="M590" s="48"/>
      <c r="N590" s="4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10"/>
    </row>
    <row r="591" spans="1:45" ht="13" x14ac:dyDescent="0.25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48"/>
      <c r="M591" s="48"/>
      <c r="N591" s="4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10"/>
    </row>
    <row r="592" spans="1:45" ht="13" x14ac:dyDescent="0.25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48"/>
      <c r="M592" s="48"/>
      <c r="N592" s="4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10"/>
    </row>
    <row r="593" spans="1:45" ht="13" x14ac:dyDescent="0.25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48"/>
      <c r="M593" s="48"/>
      <c r="N593" s="4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10"/>
    </row>
    <row r="594" spans="1:45" ht="13" x14ac:dyDescent="0.25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48"/>
      <c r="M594" s="48"/>
      <c r="N594" s="4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10"/>
    </row>
    <row r="595" spans="1:45" ht="13" x14ac:dyDescent="0.2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48"/>
      <c r="M595" s="48"/>
      <c r="N595" s="4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10"/>
    </row>
    <row r="596" spans="1:45" ht="13" x14ac:dyDescent="0.25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48"/>
      <c r="M596" s="48"/>
      <c r="N596" s="4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10"/>
    </row>
    <row r="597" spans="1:45" ht="13" x14ac:dyDescent="0.25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48"/>
      <c r="M597" s="48"/>
      <c r="N597" s="4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10"/>
    </row>
    <row r="598" spans="1:45" ht="13" x14ac:dyDescent="0.25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48"/>
      <c r="M598" s="48"/>
      <c r="N598" s="4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10"/>
    </row>
    <row r="599" spans="1:45" ht="13" x14ac:dyDescent="0.25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48"/>
      <c r="M599" s="48"/>
      <c r="N599" s="4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10"/>
    </row>
    <row r="600" spans="1:45" ht="13" x14ac:dyDescent="0.25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48"/>
      <c r="M600" s="48"/>
      <c r="N600" s="4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10"/>
    </row>
    <row r="601" spans="1:45" ht="13" x14ac:dyDescent="0.25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48"/>
      <c r="M601" s="48"/>
      <c r="N601" s="4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10"/>
    </row>
    <row r="602" spans="1:45" ht="13" x14ac:dyDescent="0.25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48"/>
      <c r="M602" s="48"/>
      <c r="N602" s="4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10"/>
    </row>
    <row r="603" spans="1:45" ht="13" x14ac:dyDescent="0.25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48"/>
      <c r="M603" s="48"/>
      <c r="N603" s="4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10"/>
    </row>
    <row r="604" spans="1:45" ht="13" x14ac:dyDescent="0.25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48"/>
      <c r="M604" s="48"/>
      <c r="N604" s="4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10"/>
    </row>
    <row r="605" spans="1:45" ht="13" x14ac:dyDescent="0.2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48"/>
      <c r="M605" s="48"/>
      <c r="N605" s="4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10"/>
    </row>
    <row r="606" spans="1:45" ht="13" x14ac:dyDescent="0.25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48"/>
      <c r="M606" s="48"/>
      <c r="N606" s="4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10"/>
    </row>
    <row r="607" spans="1:45" ht="13" x14ac:dyDescent="0.25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48"/>
      <c r="M607" s="48"/>
      <c r="N607" s="4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10"/>
    </row>
    <row r="608" spans="1:45" ht="13" x14ac:dyDescent="0.25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48"/>
      <c r="M608" s="48"/>
      <c r="N608" s="4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10"/>
    </row>
    <row r="609" spans="1:45" ht="13" x14ac:dyDescent="0.25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48"/>
      <c r="M609" s="48"/>
      <c r="N609" s="4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10"/>
    </row>
    <row r="610" spans="1:45" ht="13" x14ac:dyDescent="0.25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48"/>
      <c r="M610" s="48"/>
      <c r="N610" s="4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10"/>
    </row>
    <row r="611" spans="1:45" ht="13" x14ac:dyDescent="0.25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48"/>
      <c r="M611" s="48"/>
      <c r="N611" s="4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10"/>
    </row>
    <row r="612" spans="1:45" ht="13" x14ac:dyDescent="0.25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48"/>
      <c r="M612" s="48"/>
      <c r="N612" s="4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10"/>
    </row>
    <row r="613" spans="1:45" ht="13" x14ac:dyDescent="0.25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48"/>
      <c r="M613" s="48"/>
      <c r="N613" s="4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10"/>
    </row>
    <row r="614" spans="1:45" ht="13" x14ac:dyDescent="0.25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48"/>
      <c r="M614" s="48"/>
      <c r="N614" s="4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10"/>
    </row>
    <row r="615" spans="1:45" ht="13" x14ac:dyDescent="0.2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48"/>
      <c r="M615" s="48"/>
      <c r="N615" s="4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10"/>
    </row>
    <row r="616" spans="1:45" ht="13" x14ac:dyDescent="0.25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48"/>
      <c r="M616" s="48"/>
      <c r="N616" s="4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10"/>
    </row>
    <row r="617" spans="1:45" ht="13" x14ac:dyDescent="0.25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48"/>
      <c r="M617" s="48"/>
      <c r="N617" s="4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10"/>
    </row>
    <row r="618" spans="1:45" ht="13" x14ac:dyDescent="0.25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48"/>
      <c r="M618" s="48"/>
      <c r="N618" s="4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10"/>
    </row>
    <row r="619" spans="1:45" ht="13" x14ac:dyDescent="0.25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48"/>
      <c r="M619" s="48"/>
      <c r="N619" s="4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10"/>
    </row>
  </sheetData>
  <mergeCells count="43">
    <mergeCell ref="AJ8:AM8"/>
    <mergeCell ref="AO8:AP8"/>
    <mergeCell ref="Y10:AF11"/>
    <mergeCell ref="Y12:AF13"/>
    <mergeCell ref="Y14:AF15"/>
    <mergeCell ref="V25:AF26"/>
    <mergeCell ref="V27:AF28"/>
    <mergeCell ref="Q29:AF29"/>
    <mergeCell ref="Y8:AF9"/>
    <mergeCell ref="AG8:AH8"/>
    <mergeCell ref="Y16:AF17"/>
    <mergeCell ref="Y18:AF19"/>
    <mergeCell ref="Q20:AF20"/>
    <mergeCell ref="V21:AF22"/>
    <mergeCell ref="V23:AF24"/>
    <mergeCell ref="Y5:AF5"/>
    <mergeCell ref="Y6:AF6"/>
    <mergeCell ref="AG6:AN6"/>
    <mergeCell ref="AO6:AQ6"/>
    <mergeCell ref="Y7:AF7"/>
    <mergeCell ref="AG7:AN7"/>
    <mergeCell ref="AO7:AQ7"/>
    <mergeCell ref="Q17:X19"/>
    <mergeCell ref="Q21:U28"/>
    <mergeCell ref="Q1:AD1"/>
    <mergeCell ref="AE1:AH2"/>
    <mergeCell ref="AN1:AQ1"/>
    <mergeCell ref="Q2:R2"/>
    <mergeCell ref="S2:AD2"/>
    <mergeCell ref="AO2:AP2"/>
    <mergeCell ref="AO3:AQ3"/>
    <mergeCell ref="Y3:AF3"/>
    <mergeCell ref="AG3:AN3"/>
    <mergeCell ref="Y4:AF4"/>
    <mergeCell ref="AG4:AN4"/>
    <mergeCell ref="AO4:AQ4"/>
    <mergeCell ref="AG5:AN5"/>
    <mergeCell ref="AO5:AQ5"/>
    <mergeCell ref="Q3:X3"/>
    <mergeCell ref="Q4:X5"/>
    <mergeCell ref="Q6:X7"/>
    <mergeCell ref="Q8:X12"/>
    <mergeCell ref="Q13:X16"/>
  </mergeCells>
  <printOptions horizontalCentered="1"/>
  <pageMargins left="0.19685039370078738" right="0.19685039370078738" top="0.19685039370078738" bottom="0.19685039370078738" header="0" footer="0"/>
  <pageSetup paperSize="9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पवार सेवालाल पप्पू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Ranveer Singh</cp:lastModifiedBy>
  <dcterms:modified xsi:type="dcterms:W3CDTF">2025-12-08T15:12:58Z</dcterms:modified>
</cp:coreProperties>
</file>